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10.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1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filterPrivacy="1" codeName="ThisWorkbook" autoCompressPictures="0"/>
  <xr:revisionPtr revIDLastSave="0" documentId="8_{476EEAD9-087C-4979-9914-395F629CA2FE}" xr6:coauthVersionLast="47" xr6:coauthVersionMax="47" xr10:uidLastSave="{00000000-0000-0000-0000-000000000000}"/>
  <bookViews>
    <workbookView xWindow="9030" yWindow="1965" windowWidth="27600" windowHeight="14565" activeTab="1" xr2:uid="{00000000-000D-0000-FFFF-FFFF00000000}"/>
  </bookViews>
  <sheets>
    <sheet name="開始" sheetId="28" r:id="rId1"/>
    <sheet name="1. 新增" sheetId="21" r:id="rId2"/>
    <sheet name="2. 填滿" sheetId="23" r:id="rId3"/>
    <sheet name="3. 分割" sheetId="24" r:id="rId4"/>
    <sheet name="4. 轉置" sheetId="25" r:id="rId5"/>
    <sheet name="5. 排序與篩選" sheetId="32" r:id="rId6"/>
    <sheet name="6. 表格" sheetId="26" r:id="rId7"/>
    <sheet name="7. 下拉式清單" sheetId="27" r:id="rId8"/>
    <sheet name="8. 分析" sheetId="33" r:id="rId9"/>
    <sheet name="9. 圖表" sheetId="34" r:id="rId10"/>
    <sheet name="10. 樞紐分析表" sheetId="35" r:id="rId11"/>
    <sheet name="深入了解" sheetId="36" r:id="rId12"/>
  </sheets>
  <definedNames>
    <definedName name="_xlnm._FilterDatabase" localSheetId="5" hidden="1">'5. 排序與篩選'!$C$5:$G$13</definedName>
    <definedName name="SUMExtraCredit">'1. 新增'!$F$10:$G$15</definedName>
    <definedName name="SUMIF">'1. 新增'!$C$72:$D$77</definedName>
    <definedName name="SUMIF祕笈">'1. 新增'!$F$72:$G$77</definedName>
    <definedName name="水果">'1. 新增'!$C$3:$D$7</definedName>
    <definedName name="肉品">'1. 新增'!$F$3:$G$7</definedName>
    <definedName name="更多水果">'1. 新增'!$C$37:$D$41</definedName>
    <definedName name="更多項目">'1. 新增'!$F$47:$G$51</definedName>
    <definedName name="更多項目_">'1. 新增'!$C$47:$D$51</definedName>
    <definedName name="祕笈">'1. 新增'!$F$10:$G$15</definedName>
    <definedName name="項目">'1. 新增'!$C$10:$D$15</definedName>
    <definedName name="總計">'1. 新增'!$E$53:$E$54</definedName>
  </definedNames>
  <calcPr calcId="191029"/>
  <pivotCaches>
    <pivotCache cacheId="3"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D73" i="34" l="1"/>
  <c r="D72" i="34"/>
  <c r="D71" i="34"/>
  <c r="D70" i="34"/>
  <c r="D69" i="34"/>
  <c r="D68" i="34"/>
  <c r="C6" i="34" l="1"/>
  <c r="C7" i="34"/>
  <c r="C8" i="34"/>
  <c r="C9" i="34"/>
  <c r="C10" i="34"/>
  <c r="C11" i="34"/>
  <c r="C40" i="35" l="1"/>
  <c r="C39" i="35"/>
  <c r="C38" i="35"/>
  <c r="C37" i="35"/>
  <c r="C36" i="35"/>
  <c r="C35" i="35"/>
  <c r="C4" i="35"/>
  <c r="C5" i="35"/>
  <c r="C6" i="35"/>
  <c r="C7" i="35"/>
  <c r="C8" i="35"/>
  <c r="C9" i="35"/>
  <c r="C55" i="32"/>
  <c r="C54" i="32"/>
  <c r="C53" i="32"/>
  <c r="C52" i="32"/>
  <c r="C51" i="32"/>
  <c r="C50" i="32"/>
  <c r="C37" i="32"/>
  <c r="C36" i="32"/>
  <c r="C35" i="32"/>
  <c r="C34" i="32"/>
  <c r="C33" i="32"/>
  <c r="C32" i="32"/>
  <c r="E4" i="23" l="1"/>
  <c r="D42" i="21" l="1"/>
  <c r="F56" i="24" l="1"/>
  <c r="E54" i="21"/>
  <c r="E56" i="24" l="1"/>
  <c r="H56" i="24"/>
  <c r="G56" i="24" l="1"/>
  <c r="G78" i="21" l="1"/>
  <c r="E12" i="23" l="1"/>
  <c r="G12" i="23" s="1"/>
  <c r="E13" i="23"/>
  <c r="G13" i="23" s="1"/>
  <c r="E14" i="23"/>
  <c r="G14" i="23" s="1"/>
  <c r="E11" i="23"/>
  <c r="G11" i="23" s="1"/>
  <c r="C15" i="23"/>
  <c r="G4" i="23"/>
  <c r="D78" i="21" l="1"/>
</calcChain>
</file>

<file path=xl/sharedStrings.xml><?xml version="1.0" encoding="utf-8"?>
<sst xmlns="http://schemas.openxmlformats.org/spreadsheetml/2006/main" count="665" uniqueCount="373">
  <si>
    <t>歡迎使用導覽。
適用於螢幕助讀程式的指示：只需完成 10 個步驟，就能充分了解如何使用 Excel 這款全球最熱門的試算表 App。
本導覽包含其他 11 個工作表。每個工作表都會在儲存格 A1 中提供指示，並在儲存格 A2、A3 等等中提供每個後續步驟。
指示會指出要瀏覽到哪個儲存格，以便使用特定功能或進一步閱讀詳細資訊。
若要開始，請按 CTRL+PAGE DOWN。</t>
  </si>
  <si>
    <t>導覽</t>
  </si>
  <si>
    <t>按 CTRL+HOME 即可回到頁首。若要進行導覽，請按 CTRL+PAGE DOWN。</t>
  </si>
  <si>
    <t>輕鬆將數值加總</t>
  </si>
  <si>
    <t>以下是幾種在 Excel 中將數值加總的方法：</t>
  </si>
  <si>
    <t xml:space="preserve">儲存格 C3 到 C7 包含以下兩欄的資料：一欄為 [水果]，而一欄為 [數量]。 </t>
  </si>
  <si>
    <t>按 CTRL+G，輸入 D8，然後按 ENTER 來移至 D8。</t>
  </si>
  <si>
    <t>輸入 =SUM(D4:D7)，然後按 ENTER。</t>
  </si>
  <si>
    <t xml:space="preserve">結果會是 170。 </t>
  </si>
  <si>
    <t>您也可以使用快速鍵來新增數值。儲存格 F3 到 G7 包含以下兩欄的資料：[肉品] 和 [數量]。</t>
  </si>
  <si>
    <t>移至儲存格 G8。按 ALT+=，然後按 ENTER。</t>
  </si>
  <si>
    <t>系統會在儲存格 G8 中顯示結果為 140。</t>
  </si>
  <si>
    <t>以下是另一種新增方法。儲存格 C10 到 D15 包含以下兩欄的資料：[項目] 和 [數量]。</t>
  </si>
  <si>
    <t>現在僅新增大於 50 的數值。移至儲存格 D16。輸入 =SUMIF(D11:D15,"&gt;50")，然後按 Enter。結果會是 100。</t>
  </si>
  <si>
    <t>祕笈：儲存格 F10 到 G15 包含以下兩欄的資料：[項目] 和 [數量]。移至儲存格 G16。試著在這裡加入另一個 SUMIF 公式。在欄 G、儲存格 G11 到 G15 中新增少於 100 的數量。結果應該會是 160。</t>
  </si>
  <si>
    <t>向下瀏覽以取得更多詳細資料：移至 A27。或者，若要繼續進行下一個步驟，請按 CTRL+PAGE DOWN。</t>
  </si>
  <si>
    <t xml:space="preserve">深入了解 SUM 函數 </t>
  </si>
  <si>
    <t>在上述的某些祕訣中，我們教您如何使用 SUM 函數。以下是這個函數相關的詳細資料。</t>
  </si>
  <si>
    <t xml:space="preserve">儲存格 C37 到 D41 包含以下兩欄的資料：[水果] 和 [數量]。 </t>
  </si>
  <si>
    <t>儲存格 D42 中的公式為：=SUM(D38:D41)。</t>
  </si>
  <si>
    <t>如果儲存格 D42 中的 SUM 函數會說話，它會說：將儲存格 D38、D39、D40 和 D41 中的值加總。</t>
  </si>
  <si>
    <t>以下是另一種使用方法：</t>
  </si>
  <si>
    <t xml:space="preserve">儲存格 C47 到 D48 包含以下兩欄的資料：[項目] 和 [數量]。 </t>
  </si>
  <si>
    <t xml:space="preserve">儲存格 F47 到 G51 包含以下兩欄的資料：[項目] 和 [數量]。 </t>
  </si>
  <si>
    <t>儲存格 E54 中的公式為：=SUM(D48, G48:G51,100)。</t>
  </si>
  <si>
    <t>如果儲存格 E54 中的公式會說話，它會說：將以下數值加總：儲存格 D48 中的值、儲存格 G48、G49、G50 和 G51 中的值，以及 100。</t>
  </si>
  <si>
    <t>儲存格 E54 中的公式會使用以下項目：</t>
  </si>
  <si>
    <t xml:space="preserve">• 單一儲存格參照，也就是 [地址] 或 [名稱] 儲存格。D48 為上述公式的單一儲存格參照。 </t>
  </si>
  <si>
    <t xml:space="preserve">• 儲存格範圍，也就是從某個儲存格開始並在另一個儲存格結束的儲存格數列。G48:G51 是公式的儲存格範圍。 </t>
  </si>
  <si>
    <t xml:space="preserve">• 一個常數，也就是數值 100。 </t>
  </si>
  <si>
    <t xml:space="preserve">要訣詳述：移至儲存格 E54。您會在公式尾端看到 100。雖然您可以像這樣在公式中加入數值，但除非必要，我們不建議您這麼做。這稱為「常數」，很容易忘記此數值的存在。建議您改為參照其他儲存格，例如儲存格 D16，以便輕鬆看到此數值，而不會隱藏在公式內。 </t>
  </si>
  <si>
    <t>移至儲存格 A66 以查看下個指示。</t>
  </si>
  <si>
    <t xml:space="preserve">深入了解 SUMIF 函數 </t>
  </si>
  <si>
    <t xml:space="preserve">我們同時在此工作表頂端的儲存格 A10 和 A11 顯示 SUMIF 函數。SUMIF 函數會依據準則將合計加總。 </t>
  </si>
  <si>
    <t xml:space="preserve">儲存格 C72 到 D77 包含以下兩欄的資料：[項目] 和 [數量]。 </t>
  </si>
  <si>
    <t>儲存格 D78 中的公式為：=SUMIF(D73:D77,"&gt;50")。</t>
  </si>
  <si>
    <t>如果 SUMIF 函數會說話，它會說：依據此準則將某些值加總，查看儲存格 D73 到 D77，然後在值大於 50 時進行加總。</t>
  </si>
  <si>
    <t>注意：如果您撰寫了大量 SUMIF 公式，建議您使用樞紐分析表。如需詳細資訊，請參閱 [樞紐分析表] 工作表。</t>
  </si>
  <si>
    <t xml:space="preserve">儲存格 F72 到 G77 包含以下兩欄的資料：[項目] 和 [數量]。 </t>
  </si>
  <si>
    <t xml:space="preserve">不可不知：移至儲存格 G78。儲存格 G78 中的公式為：=SUMIF(G73:G77, "&gt;=50")，這與儲存格 D78 中的公式不同。具體來說，加總準則為 "&gt;=50"，這表示大於或等於 50。您可以使用其他運算子，例如表示小於或等於 50 的 "&lt;=50"。"&lt;&gt;50" 表示不等於 50。 
</t>
  </si>
  <si>
    <t>移至儲存格 A86 以查看下個指示。</t>
  </si>
  <si>
    <t>Web 上的更多資訊</t>
  </si>
  <si>
    <t>全面了解 SUM 函數</t>
  </si>
  <si>
    <t>全面了解 SUMIF 函數</t>
  </si>
  <si>
    <t>用 Excel 當計算機</t>
  </si>
  <si>
    <t>免費的 Excel 線上訓練</t>
  </si>
  <si>
    <t>按 CTRL+HOME 就能回到頁首。若要繼續進行下一個步驟，請按 CTRL+PAGE DOWN。</t>
  </si>
  <si>
    <t>水果</t>
  </si>
  <si>
    <t>蘋果</t>
  </si>
  <si>
    <t>橘子</t>
  </si>
  <si>
    <t>香蕉</t>
  </si>
  <si>
    <t>檸檬</t>
  </si>
  <si>
    <t>項目</t>
  </si>
  <si>
    <t>麵包</t>
  </si>
  <si>
    <t>甜甜圈</t>
  </si>
  <si>
    <t>餅乾</t>
  </si>
  <si>
    <t>蛋糕</t>
  </si>
  <si>
    <t>派</t>
  </si>
  <si>
    <t>表格</t>
  </si>
  <si>
    <t>數量</t>
  </si>
  <si>
    <t>金額</t>
  </si>
  <si>
    <t>合計：</t>
  </si>
  <si>
    <t>肉品</t>
  </si>
  <si>
    <t>牛肉</t>
  </si>
  <si>
    <t>雞肉</t>
  </si>
  <si>
    <t>豬肉</t>
  </si>
  <si>
    <t>魚肉</t>
  </si>
  <si>
    <t>汽車</t>
  </si>
  <si>
    <t>卡車</t>
  </si>
  <si>
    <t>自行車</t>
  </si>
  <si>
    <t>溜冰鞋</t>
  </si>
  <si>
    <t>自動填滿儲存格以節省時間</t>
  </si>
  <si>
    <t>以下說明如何使用 Excel 中的 [填滿] 功能：</t>
  </si>
  <si>
    <t>儲存格 C3 到 G7 包含以下五欄的資料：每個儲存格包含數值 50 的 [此數值：] 欄；包含數值 50、60、70 和 80 的 [加上此數值：] 欄；儲存格 E4 包含儲存格 C4 和 D4 的加總結果的 [等於：] 欄；每個儲存格包含數值 75 的 [加上此數值：] 欄；以及儲存格 G4 包含儲存格 E4 和 F4 的加總結果的 [等於：] 欄。</t>
  </si>
  <si>
    <t xml:space="preserve">移至儲存格 E4。按 CTRL+G，輸入 E4，然後按 Enter。 </t>
  </si>
  <si>
    <t>按住 SHIFT 鍵同時按向下鍵來選取儲存格 E4、E5、E6 和 E7，然後按 CTRL+D。Excel 會自動將下列加總結果填入儲存格：110、120 和 130。這稱為「向下填滿」。</t>
  </si>
  <si>
    <t>祕笈：移至儲存格 G4，然後重複上述的向下填滿步驟。</t>
  </si>
  <si>
    <t>儲存格 C10 到 G14 包含以下五欄的資料。執行儲存格 A5 和 A6 中的步驟之後，這些欄會包含儲存格 C3 到 G3 的標題，以及儲存格 C4 到 G7 的值。</t>
  </si>
  <si>
    <t>移至儲存格 C15。選取儲存格 C15、D15、E15、F15 及 G15。這次按 CTRL+R 以填滿儲存格。這稱為「向右填滿」。</t>
  </si>
  <si>
    <t>向下瀏覽以取得更多詳細資料：移至儲存格 A27。或者，若要繼續進行下一個步驟，請按 CTRL+PAGE DOWN。</t>
  </si>
  <si>
    <t>使用填滿控點來複製儲存格</t>
  </si>
  <si>
    <t>有時候，您不希望數值在您填滿時變更。相反地，您只想將值複製到其他相鄰的儲存格。以下說明如何操作：</t>
  </si>
  <si>
    <t xml:space="preserve">儲存格 C33 到 F37 包含四欄：[部門]、[類別]、[產品] 及 [計數]。 </t>
  </si>
  <si>
    <t>移至儲存格 C34。選取 C34、C35、C36、C37，然後按 CTRL+D。C34 中的值會向下填滿所選的儲存格。</t>
  </si>
  <si>
    <t>移至儲存格 A64 以查看下個指示。</t>
  </si>
  <si>
    <t>在工作表儲存格中自動填入資料</t>
  </si>
  <si>
    <t>按 CTRL+HOME 即可回到頁首。若要繼續進行下一個步驟，請按 CTRL+PAGE DOWN。</t>
  </si>
  <si>
    <t>此數值：</t>
  </si>
  <si>
    <t>部門</t>
  </si>
  <si>
    <t>農產品</t>
  </si>
  <si>
    <t>第 1 週</t>
  </si>
  <si>
    <t>間隔</t>
  </si>
  <si>
    <t>加上此數值：</t>
  </si>
  <si>
    <t>類別</t>
  </si>
  <si>
    <t>1 月</t>
  </si>
  <si>
    <t>等於：</t>
  </si>
  <si>
    <t>產品</t>
  </si>
  <si>
    <t>梨子</t>
  </si>
  <si>
    <t>計數</t>
  </si>
  <si>
    <t>第 1 季</t>
  </si>
  <si>
    <t>如果資料塞滿一欄，請分割欄。</t>
  </si>
  <si>
    <t>移至儲存格 D5。按 CTRL+G，輸入 D5，然後按 Enter。在儲存格 C5 中輸入 [電子郵件] 欄中的名字：Nancy。</t>
  </si>
  <si>
    <t>移至儲存格 D6。按 CTRL+E (此為 [快速填入] 的快速鍵)。</t>
  </si>
  <si>
    <t xml:space="preserve">[快速填入] 會偵測到您輸入一致的模式，並在偵測到該模式時填入儲存格。 </t>
  </si>
  <si>
    <t>試試 [快速填入] 的另一種方式：移至儲存格 E5。</t>
  </si>
  <si>
    <t>按 ALT+H 以進入功能區上方的 [常用] 索引標籤，然後按 FI 來選取 [填滿] 選項。按向下鍵以從清單中選取 [快速填入] 或按 F。現在姓氏就會在其專屬欄中 (儲存格 E5 到 E9)。</t>
  </si>
  <si>
    <t>依據分隔符號分割欄。</t>
  </si>
  <si>
    <t>[快速填入] 非常實用，但如果您想一次將資料分割成多個欄，就不建議使用這項工具。在這種情況，可試試 [資料剖析]：</t>
  </si>
  <si>
    <t xml:space="preserve">移至儲存格 C32。選取 C32 到 C39 的所有儲存格：從 Nancy 一直到 Yvonne。 </t>
  </si>
  <si>
    <t>按 ALT+A 以進入功能區上方的 [資料] 索引標籤，然後按 E 來選取 [資料工具] 區段內的 [資料剖析]。[資料剖析精靈 - 步驟 3 之 1] 隨即顯示。請確認已選取 [分隔符號] 選項按鈕，然後按 Enter。使用 Tab 鍵瀏覽對話。</t>
  </si>
  <si>
    <t>[資料剖析精靈 - 步驟 3 之 2]：按 Tab 在 [分隔符號] 底下找到 [逗點] 選項。請務必只選取 [逗點] 核取方塊，然後按 Tab 來選取 [下一步] 再按 Enter。</t>
  </si>
  <si>
    <t xml:space="preserve">[資料剖析精靈 - 步驟 3 之 3]：按 Tab，然後只選取 [一般] 選項。 </t>
  </si>
  <si>
    <t>最後，按 Tab，直到您進入 [目標儲存格] 文字方塊。輸入 $D$32，然後按 Enter。</t>
  </si>
  <si>
    <t>移至儲存格 A49 以查看下個指示。</t>
  </si>
  <si>
    <t>使用公式分割欄</t>
  </si>
  <si>
    <t>建議您撰寫公式來分割資料。如此一來，如果原始資料更新，分割的資料也會一併更新。這是進階做法，但使用以下幾種函數也可完成：LEFT、RIGHT、FIND 和 LEN。如需這些函數的詳細資訊，請參閱本工作表底部從儲存格 A80 開始的 [Web 上的更多資訊] 下方的連結。不過，如果您想了解，以下是如何分割儲存格 C56 的做法。</t>
  </si>
  <si>
    <t>移至儲存格 E56：[Yvonne]。我們使用 LEFT 函數來擷取儲存格 C56 中左側的字元。此外，我們還使用 FIND 函數來指定要擷取的字元數。以下說明 "=LEFT(C56,FIND(" ",C56)-1)" 這個公式的運作方式：</t>
  </si>
  <si>
    <t xml:space="preserve">左側的函數會擷取儲存格 C56 中左側的指定字元數。
</t>
  </si>
  <si>
    <t xml:space="preserve">Find 函數則是用來決定要擷取的字元數。Find 函數的運作方式如下：找出儲存格 C56 中的第一個空格的字元位置數，然後減去 1 來去除空格本身。
</t>
  </si>
  <si>
    <t>結果會是 Yvonne。</t>
  </si>
  <si>
    <t xml:space="preserve">接著，我們建立了 [協助程式欄]，用來「協助」擷取儲存格中的其他文字。這類文字為臨時性，且可在稍後隱藏。 </t>
  </si>
  <si>
    <t xml:space="preserve">選取儲存格 F56：[協助程式欄] 中的 [Francis McKay]。您會看到我們使用 RIGHT、LEN 和 FIND 函數來擷取儲存格 C56 中的第一個空格到儲存格結尾的字元。 </t>
  </si>
  <si>
    <t>以下說明 "=RIGHT(C56,LEN(C56)-FIND(" ",C56))" 這個公式的運作方式：</t>
  </si>
  <si>
    <t>Right 函數會擷取儲存格 C56 中右側的指定字元數。</t>
  </si>
  <si>
    <t xml:space="preserve">在此情況下，LEN 函數則是用來決定要擷取的字元數。LEN 函數的運作方式如下：計算儲存格 C56 中的字元數，並從 Find 函數擷取字元數 (Find 函數會找出儲存格 C56 中的第一個空格的字元位置數，並傳回空格之前的字元數)。 </t>
  </si>
  <si>
    <t>結果會是 Francis McKay。</t>
  </si>
  <si>
    <t xml:space="preserve">選取儲存格 G56：[Francis]。我們在這裡使用與儲存格 A51 大致相同的公式，但不是擷取儲存格 C56 中的字元，而是擷取儲存格 F56 中的字元。 
</t>
  </si>
  <si>
    <t xml:space="preserve">選取儲存格 H56：[McKay]。這個公式與步驟 A57 相同，但它會擷取儲存格 F56 中的字元，而不是儲存格 C56 中的字元。 </t>
  </si>
  <si>
    <t>移至儲存格 A79 以查看下個指示。</t>
  </si>
  <si>
    <t>將文字分割成不同的欄</t>
  </si>
  <si>
    <t xml:space="preserve">全面了解 [取得及轉換] </t>
  </si>
  <si>
    <t>全面了解 LEFT 函數</t>
  </si>
  <si>
    <t>全面了解 RIGHT 函數</t>
  </si>
  <si>
    <t>全面了解 FIND 函數</t>
  </si>
  <si>
    <t>全面了解 LEN 函數</t>
  </si>
  <si>
    <t>電子郵件</t>
  </si>
  <si>
    <t>Nancy.Smith@contoso.com</t>
  </si>
  <si>
    <t>Andy.North@fabrikam.com</t>
  </si>
  <si>
    <t>Jan.Kotas@relecloud.com</t>
  </si>
  <si>
    <t>Mariya.Jones@contoso.com</t>
  </si>
  <si>
    <t xml:space="preserve">Yvonne.McKay@fabrikam.com </t>
  </si>
  <si>
    <t>資料</t>
  </si>
  <si>
    <t>Nancy,Smith,Contoso Ltd.</t>
  </si>
  <si>
    <t>Andy,North,Fabrikam Inc.</t>
  </si>
  <si>
    <t>Jan,Kotas,Relecloud</t>
  </si>
  <si>
    <t>Mariya,Jones,Contoso Ltd.</t>
  </si>
  <si>
    <t>Steven,Thorpe,Relecloud</t>
  </si>
  <si>
    <t>Michael,Neipper,Fabrikam Inc.</t>
  </si>
  <si>
    <t>Robert,Zare,Relecloud</t>
  </si>
  <si>
    <t>Yvonne,McKay,Contoso Ltd.</t>
  </si>
  <si>
    <t>單一儲存格內的姓名</t>
  </si>
  <si>
    <t>Yvonne Francis McKay</t>
  </si>
  <si>
    <t>名字</t>
  </si>
  <si>
    <t>姓氏</t>
  </si>
  <si>
    <t>Smith</t>
  </si>
  <si>
    <t>公司名稱</t>
  </si>
  <si>
    <t>[協助程式欄]</t>
  </si>
  <si>
    <t>中間名</t>
  </si>
  <si>
    <t>透過轉置切換資料的方向</t>
  </si>
  <si>
    <t>如果您需要旋轉欄和列的方向，可以在 Excel 中進行轉置。</t>
  </si>
  <si>
    <t>儲存格 C5 到 H6 包含 [項目] 和 [數量] 這兩列。選取儲存格 C5 到 H6。</t>
  </si>
  <si>
    <t>現在您將複製儲存格，按 CTRL+C。</t>
  </si>
  <si>
    <t>選取儲存格 C9。</t>
  </si>
  <si>
    <t xml:space="preserve">按 ALT+H 以進入功能區上方的 [常用] 索引標籤，然後按 V 來選取 [貼上] 選項。按向下箭號或按 S 來選取 [選擇性貼上]。 </t>
  </si>
  <si>
    <t>按 Tab，直到您找到 [轉置]。按空格鍵來選取 [轉置]，然後按 Enter。</t>
  </si>
  <si>
    <t xml:space="preserve">專家級祕訣：[選擇性貼上] 的快速鍵是 CTRL+ALT+V。 
</t>
  </si>
  <si>
    <t>使用公式進行轉置</t>
  </si>
  <si>
    <t>有時您不想要透過複製及貼上的方式來進行轉置。在此情況下，您可以使用公式將列和欄轉置。以下說明如何操作：</t>
  </si>
  <si>
    <t xml:space="preserve">若要轉置此資料，您必須先選取部分空白儲存格。由於右側儲存格 C33 到 H34 中的資料包含六欄和兩列，因此您必須選取兩欄和六列。請選取儲存格 C40 到 D45 來執行此動作。 </t>
  </si>
  <si>
    <t xml:space="preserve">這個步驟容易出錯，因此請特別注意。仍將這些儲存格保持選取，然後輸入下列公式：=TRANSPOSE(C33:H34)，但不要按 Enter。請改為按 CTRL+SHIFT+ENTER。如果您因此收到錯誤或 #VALUE!，請按照儲存格 A29 中的指示再試一次。 
</t>
  </si>
  <si>
    <t>選取任何經過轉置的儲存格，例如儲存格 C41。查看 Excel 頂端的公式。您會看到如下所示的公式：{=TRANSPOSE(C33:H34)}</t>
  </si>
  <si>
    <t xml:space="preserve">從經過轉置的儲存格 C40 到 D45 中選取一個，例如儲存格 D43。再次查看資料編輯列。公式會與儲存格 C41 中的公式相同，為什麼？因為這是陣列公式。
</t>
  </si>
  <si>
    <t>移至儲存格 A54 以查看下個指示。</t>
  </si>
  <si>
    <t>什麼是陣列公式？</t>
  </si>
  <si>
    <t>陣列公式可以對陣列中的多個儲存格執行計算。在上述範例中，陣列為儲存格 C33:H34 中的原始資料集。TRANSPOSE 函數之後會將儲存格的方向從水平切換成垂直。 </t>
  </si>
  <si>
    <t xml:space="preserve">您隨時可以按 CTRL+SHIFT+ENTER 來完成陣列公式，而不是按 ENTER。按 CTRL+SHIFT+ENTER 來計算陣列的函數。完成時，Excel 會使用特殊的括號 { } 包住公式。這種括號是一種視覺提示，指出選取的儲存格是陣列公式的一部分。您無法自行輸入這些括號。Excel 會在您按 CTRL+SHIFT+ENTER 時加上這些括號。 </t>
  </si>
  <si>
    <t>注意事項…
使用陣列公式時請注意以下三個事項：
1) 先選取多個儲存格，然後對那些選取的儲存格，開始輸入陣列公式。這點非常重要：先選取多個儲存格，然後開始輸入公式。
2) 輸入好陣列公式之後，請按 CTRL+SHIFT+ENTER。
3) 陣列公式輸入完成後，您就無法中斷新陣列。例如，您無法覆寫或刪除其中一個儲存格。此外，您也無法在陣列中插入新的列或欄中。如果您必須這麼做，請選取包含陣列公式的所有儲存格，按 Delete，然後進行變更並重新建立公式。</t>
  </si>
  <si>
    <t xml:space="preserve">Excel 說明：因為陣列公式需要用到 CTRL+SHIFT+ENTER，因此某些人員將陣列公式稱為「CSE 公式」。 
</t>
  </si>
  <si>
    <t>移至儲存格 A72 以查看下個指示。</t>
  </si>
  <si>
    <t>將資料從列轉置 (旋轉) 到欄或反向操作</t>
  </si>
  <si>
    <t>全面了解 TRANSPOSE 函數</t>
  </si>
  <si>
    <t>建立陣列公式</t>
  </si>
  <si>
    <t>輕鬆進行排序與篩選</t>
  </si>
  <si>
    <t>儲存格 C5 到 G13 包含五欄：[10 月]、[11 月]、[12 月] 的 [部門]、[類別] 和 [金額]。</t>
  </si>
  <si>
    <t xml:space="preserve">假設您想按字母順序排序部門。選取 [部門] 欄，移至儲存格 C5。按 CTRL+G，輸入 C5，然後按 Enter。現在，按 ALT+H 以進入功能區上方的 [常用] 索引標籤，然後按 S 來進入 [排序與篩選] 選項。使用方向鍵來找到 [從 A 到 Z 排序] 選項，或是按 S，然後按 Enter。 </t>
  </si>
  <si>
    <t xml:space="preserve">將 12 月的金額從大到小排序。選取 [12 月] 欄的儲存格，移至 G5，然後選取儲存格 G5 到 G13。按 ALT+H 以進入功能區上方的 [常用] 索引標籤，然後按 S 來選取 [排序與篩選] 選項。請注意，選項會從 [從 A 到 Z 排序] 變更為 [從最大到最小排序] 等等。使用方向鍵來找到 [從最大到最小排序] 選項，然後按 Enter。 </t>
  </si>
  <si>
    <t>篩選按鈕隨即出現在儲存格 C5 到 G5 的頂端列。移至儲存格 C5 [部門]，然後按 ALT+向下鍵，再按向下鍵和空格鍵來清除 [全選] 核取方塊。接著，使用方向鍵來找到 [烘焙]，然後按空格鍵，再按 Enter。</t>
  </si>
  <si>
    <t xml:space="preserve">祕笈：試著將兩欄按字母順序排序。方法如下：首先，將 [部門] 按字母順序排序 (請參閱上方儲存格 A3 中的步驟)，然後選取 [常用] 索引標籤 &gt; [排序與篩選] 選項。找出 [自訂排序] 並新增第二層的 [類別]。選取 [確定] 之後，系統隨即會排序 [部門]，並且按字母順序排序每個部門內的 [類別] 列。 </t>
  </si>
  <si>
    <t>按日期或色彩排序</t>
  </si>
  <si>
    <t>您可在 Excel 中透過多種方式進行排序。以下提供另外兩種排序方法：</t>
  </si>
  <si>
    <t>儲存格 C31 到 F31 包含以下四欄的資料：[費用日期]、[員工]、[伙食] 和 [住宿]。</t>
  </si>
  <si>
    <t>如果想讓 [費用日期] 按順序排序，選取 [費用日期] 標題 (也就是儲存格 C31)，然後按 ALT+向下鍵並使用方向鍵來找到 [從最舊到最新排序]，按 Enter。系統隨即會以日期的遞增順序排序 [費用日期] 列。</t>
  </si>
  <si>
    <t>假設有人將三個儲存格填滿黃色。您可以按該色彩排序列，移至儲存格 F31，然後按 ALT+向下鍵，並使用方向鍵來找到 [依色彩排序] 選項。按向右鍵來選取醒目提示色彩 [黃色] (RGB 色彩 255, 255, 0)，然後按 Enter。醒目提示的儲存格會自動排序到欄內的頂端。</t>
  </si>
  <si>
    <t xml:space="preserve">要訣詳述：您無法像使用篩選功能一樣清除排序順序。因此，如果您不想持續使用排序，請按 CTRL+Z 來復原。
</t>
  </si>
  <si>
    <t>移至儲存格 A43 以查看下個指示。</t>
  </si>
  <si>
    <t>篩選資料的其他方式</t>
  </si>
  <si>
    <t>儲存格 C49 到 F49 包含以下四欄的資料：[費用日期]、[員工]、[伙食] 和 [住宿]。</t>
  </si>
  <si>
    <t xml:space="preserve">移至儲存格 F49：[住宿]。按 ALT+向下鍵，然後使用方向鍵來找到 [數字篩選] 選項。按向右鍵來進入 [數字篩選] 清單，並使用方向鍵來找到 [高於平均] 選項，然後按 Enter。Excel 隨即會計算 [住宿] 欄的平均金額，然後只顯示大於平均的金額列。 </t>
  </si>
  <si>
    <t>現在，新增第二個篩選。移至儲存格 E49：[伙食]。按 ALT+向下鍵，然後使用方向鍵來找到 [數字篩選] 選項。按向右鍵來進入 [數字篩選] 清單。使用方向鍵來找到 [大於...] 選項，然後輸入 25，再按 Enter。在篩選出高於平均的三個列中，Excel 顯示兩個金額大於 25 的 [伙食] 列</t>
  </si>
  <si>
    <t>移至儲存格 A60 以查看下一個指示。</t>
  </si>
  <si>
    <t>排序某個範圍或表格中的資料</t>
  </si>
  <si>
    <t>篩選某個範圍或表格中的資料</t>
  </si>
  <si>
    <t>烘焙</t>
  </si>
  <si>
    <t>熟食</t>
  </si>
  <si>
    <t>費用日期</t>
  </si>
  <si>
    <t>甜點</t>
  </si>
  <si>
    <t>員工</t>
  </si>
  <si>
    <t>捷生</t>
  </si>
  <si>
    <t>哲翰</t>
  </si>
  <si>
    <t>志明</t>
  </si>
  <si>
    <t>晨怡</t>
  </si>
  <si>
    <t>邦良</t>
  </si>
  <si>
    <t>雅心</t>
  </si>
  <si>
    <t>10 月</t>
  </si>
  <si>
    <t>伙食</t>
  </si>
  <si>
    <t>11 月</t>
  </si>
  <si>
    <t>住宿</t>
  </si>
  <si>
    <t>12 月</t>
  </si>
  <si>
    <t>表格讓一切更簡單</t>
  </si>
  <si>
    <t>表格可提供各種便利的特殊功能。以下說明如何建立表格：</t>
  </si>
  <si>
    <t>儲存格 C5 到 G13 包含資料。移至該範圍內的任一儲存格，例如儲存格 D8。按 CTRL+G，輸入 D8，然後按 Enter。</t>
  </si>
  <si>
    <t>按 ALT+N 以進入功能區上方的 [插入] 索引標籤，然後按 T，再按 Enter。或者，按快速鍵組合 CTRL+T，然後按 Enter。</t>
  </si>
  <si>
    <t>現在，您已建立表格，這是由一組具備特殊功能的儲存格所組成。簡單來說：表格可提供容易閱讀的帶狀列。</t>
  </si>
  <si>
    <t xml:space="preserve">您也可以輕鬆建立新的列。移至儲存格 C13 底下的空白儲存格：[肉品]。輸入一些文字，然後按 Enter。表格的新列隨即顯示。 </t>
  </si>
  <si>
    <t>您也可以輕鬆建立欄：移至儲存格 H5 到 H14 之間的任一儲存格，例如 H10。輸入一些文字，然後按 Enter。表格的新欄隨即顯示。重複此程序以在欄 I 中加入新的欄。</t>
  </si>
  <si>
    <t>請注意兩欄的建立及格式設定方式，且系統會為您在儲存格 H5 和 I5 中填入 [1 月] 和 [2 月] 文字。</t>
  </si>
  <si>
    <t>表格中的計算結果欄</t>
  </si>
  <si>
    <t>表格提供的其中一項便利功能範例是：計算結果欄。只要輸入公式一次，系統就會為您自動向下填滿。運作方式如下：</t>
  </si>
  <si>
    <t>儲存格 C33 到 H41 包含以下六欄的資料：[部門]、[類別]、[10 月]、[11 月] 、[12 月] 和 [合計]。</t>
  </si>
  <si>
    <t>按 ALT+=，然後按 Enter。</t>
  </si>
  <si>
    <t xml:space="preserve">SUM 公式會自動為您向下填滿，因此您不必自行操作。 </t>
  </si>
  <si>
    <t>移至儲存格 A47 以查看下個指示。</t>
  </si>
  <si>
    <t>表格中的合計列</t>
  </si>
  <si>
    <t>表格的另一項便利功能是合計列。只要稍作設定就能讓 Excel 為您進行合計，而不必輸入 SUM 公式。AVERAGE 公式和許多其他公式亦是如此。運作方式如下：</t>
  </si>
  <si>
    <t>儲存格 C53 到 E61 包含以下三欄的資料：[部門]、[類別] 和 [銷售]。</t>
  </si>
  <si>
    <t>移至上述範圍內的任一儲存格，例如儲存格 D57。</t>
  </si>
  <si>
    <t>系統會在表格底部的儲存格 C62 到 E62 中加入新列，</t>
  </si>
  <si>
    <t xml:space="preserve">不可不知：有顯示及隱藏合計列的快速鍵。選取表格內部，然後按 CTRL+SHIFT+T。
</t>
  </si>
  <si>
    <t>Excel 表格概觀</t>
  </si>
  <si>
    <t>合計 Excel 表格中的資料</t>
  </si>
  <si>
    <t>使用 Excel 表格中的計算結果欄</t>
  </si>
  <si>
    <t>素食</t>
  </si>
  <si>
    <t>三明治</t>
  </si>
  <si>
    <t>沙拉</t>
  </si>
  <si>
    <t>銷售</t>
  </si>
  <si>
    <t>合計</t>
  </si>
  <si>
    <t>插入下拉式清單</t>
  </si>
  <si>
    <t xml:space="preserve">下拉式清單可讓人員輕鬆輸入資料。以下說明如何操作： </t>
  </si>
  <si>
    <t>儲存格 C3 到 D15 包含以下兩欄的資料：[食物] 和 [部門]。</t>
  </si>
  <si>
    <t>我們只想在每種食物的右側輸入三個有效的部門名稱。這些部門為農產品、肉品和烘焙。</t>
  </si>
  <si>
    <t>移至儲存格 D4。按 CTRL+G，輸入 D4，然後按 Enter。選取 D4 到 D15 的所有儲存格。</t>
  </si>
  <si>
    <t>在 [來源] 文字方塊中，輸入農產品、肉品、烘焙。請務必在每個名稱之間放入逗號。完成後，請按 Enter。</t>
  </si>
  <si>
    <t>現在，請選取儲存格 D4，也就是 [蘋果] (儲存格 C4) 旁邊的儲存格。按 ALT+向下鍵。系統會隨即顯示下拉式功能表，其中包含您加入的三個項目：[農產品]、[肉品] 和 [烘焙]。</t>
  </si>
  <si>
    <t>不可不知：下拉式清單可協助確保人員輸入有效的資料。因此，將下拉式清單納入大型功能群組 (稱為「資料驗證」) 是很適合的做法。
系統還提供其他資料驗證方法。例如，您可以限制輸入整數、日期或甚至最小值和最大值。有許多選項可供您使用，選取儲存格 A61 中的連結，就能深入了解這些選項。</t>
  </si>
  <si>
    <t>下拉式清單的最佳做法：使用表格。</t>
  </si>
  <si>
    <t>我們剛才教您如何插入部門清單的下拉式功能表，但如果清單有異動，該怎麼辦？例如，如果有一個名為「乳製品」的新部門，該怎麼做？您必須更新 [資料驗證] 對話方塊，但有個更有效率的方式，就是先建立表格：</t>
  </si>
  <si>
    <t>儲存格 C31 到 D43 包含以下兩欄的資料：[食物] 和 [部門]。儲存格 F31 到 F34 包含以下一欄的資料：[部門]。</t>
  </si>
  <si>
    <t xml:space="preserve">從儲存格 F31 到 F34 中，選取某個包含部門的儲存格。例如，選取儲存格 F33：[肉品]。 </t>
  </si>
  <si>
    <t>按 CTRL+T，然後按 Enter 來建立表格。</t>
  </si>
  <si>
    <t>您現在將會再次設定資料驗證。在儲存格 D31 底下：[部門]，選取從 D32 到 D43 的所有空白儲存格。</t>
  </si>
  <si>
    <t>在 [資料] 索引標籤上選取 [資料驗證]，或按 ALT+A、V 來開啟 [資料驗證] 對話方塊。按 Tab 移至 [允許]，然後按向下鍵來選取 [清單]。再次按 Tab 鍵。</t>
  </si>
  <si>
    <t>在 [來源] 文字方塊中，輸入 =$F$32:$F$34，然後按 Enter。</t>
  </si>
  <si>
    <t>您選取了從儲存格 F31 開始的單一欄內的值：[部門]。</t>
  </si>
  <si>
    <t>現在移至儲存格 D32，然後按 ALT+向下鍵。下拉式清單中只會有三個部門：[農產品]、[肉品] 和 [烘焙]。但是，如果您在儲存格 F35 底下的欄 F 中加入新的部門：[烘焙]，此清單會與新部門一同更新。試試看。</t>
  </si>
  <si>
    <t xml:space="preserve">專家級祕訣：使用者通常會將驗證清單放在另一個工作表，這樣其他人就不會想變更清單。
</t>
  </si>
  <si>
    <t>移至儲存格 A60 以查看下個指示。</t>
  </si>
  <si>
    <t>將資料驗證套用到儲存格</t>
  </si>
  <si>
    <t>建立下拉式清單</t>
  </si>
  <si>
    <t>食物</t>
  </si>
  <si>
    <t>花椰菜</t>
  </si>
  <si>
    <t>甘藍菜</t>
  </si>
  <si>
    <t>火腿</t>
  </si>
  <si>
    <t>快速分析資料</t>
  </si>
  <si>
    <t>以下說明如何分析資料，以便快速找出模式和趨勢：</t>
  </si>
  <si>
    <t>儲存格 C5 到 G13 包含以下五欄中的資料：[部門]、[類別]、[10 月]、[11 月] 和 [12 月]。</t>
  </si>
  <si>
    <t>在表格中移至儲存格 C5 到 G13 之間的任一儲存格，例如移至儲存格 E9，然後按 CTRL+Q。[快速分析] 面板會隨即出現。</t>
  </si>
  <si>
    <t>按 Tab 鍵以進入 [設定格式] 選項，然後按 Enter 來選取 [資料橫條]。</t>
  </si>
  <si>
    <t>系統會針對 [10 月]、[11 月] 和 [12 月] 底下的儲存格 (即儲存格 E6 到 G13) 建立特殊的資料橫條，以視覺化方式呈現金額。</t>
  </si>
  <si>
    <t>現在，假設您想要移除資料橫條。選取儲存格範圍 C5 到 G13，然後按 CTRL+Q 以再次顯示 [快速分析] 面板。</t>
  </si>
  <si>
    <t>按 Tab 鍵以進入 [設定格式] 選項，然後按向右鍵來找出 [清除...]，然後按 Enter。</t>
  </si>
  <si>
    <t xml:space="preserve">不可不知：當您選取儲存格時，[快速分析] 按鈕會隨即顯示。相當合適的名稱對吧？您隨時可以使用以下快速鍵來存取此按鈕：CRTL+Q。如果您對選取的資料有任何問題，只要選取此選項即可查看相關解答。 </t>
  </si>
  <si>
    <t>快速建立圖表</t>
  </si>
  <si>
    <t>您隨時都可以使用 [插入] 索引標籤來建立圖表。但您也可以透過以下方法，使用 [快速分析] 選項來建立圖表。不過這次，我們將使用鍵盤快速鍵：</t>
  </si>
  <si>
    <t>儲存格 C34 到 G42 包含以下五欄的資料：[部門]、[類別]、[10 月]、[11 月] 和 [12 月]。</t>
  </si>
  <si>
    <t>在表格中移至儲存格 C34 到 G42 之間的任一儲存格，例如移至儲存格 D38，然後按 Ctrl+Q。</t>
  </si>
  <si>
    <t>[快速分析] 面板會隨即出現。按向右鍵，直到您找到 [圖表] 為止。</t>
  </si>
  <si>
    <t>按 Tab 鍵以進入 [圖表] 選項，然後按 Enter 來選取 [群組直條圖]。</t>
  </si>
  <si>
    <t>新的群組直條圖會隨即顯示並處於選取狀態。您可以視需要使用方向鍵來移動直條圖。在圖表內每項產品有三欄，每欄代表各月份的銷售額：[10 月]、[11 月] 和 [12 月]。</t>
  </si>
  <si>
    <t>快速建立走勢圖</t>
  </si>
  <si>
    <t>假設您想根據右側資料建立小型的趨勢線，以顯示銷售額在三個月內的變化情況。您不必建立 8 個小型折線圖，只要建立走勢圖即可。</t>
  </si>
  <si>
    <t>儲存格 C54 到 G62 包含以下五欄的資料：[部門]、[類別]、[10 月]、[11 月] 和 [12 月]。</t>
  </si>
  <si>
    <t>在表格中移至儲存格 C55 到 G62 之間的任一儲存格，然後按 Ctrl+Q。</t>
  </si>
  <si>
    <t>在隨即出現 [快速分析] 面板中，按向右鍵直到您找到 [走勢圖]，然後按 Tab 來選取 [折線圖] 選項。按 Enter 將 [走勢圖] 新增至表格。</t>
  </si>
  <si>
    <t>走勢圖會出現在 [12 月] 欄的右側 (儲存格 H55 到 H62)。每一條線代表該列的資料，並且會顯示銷售額的變化情形。</t>
  </si>
  <si>
    <t>若要清除走勢圖，請選取儲存格 H55 到 H62。按 ALT+JD 以進入功能區上方的 [走勢圖工具] [設計] 索引標籤。按 C 以選取 [清除] 選項，然後再按一次 C 來選取 [清除選取的走勢圖]。</t>
  </si>
  <si>
    <t>移至儲存格 A68 以查看下個指示。</t>
  </si>
  <si>
    <t>立即分析資料</t>
  </si>
  <si>
    <t>使用走勢圖分析資料的趨勢</t>
  </si>
  <si>
    <t>建議使用的精美圖表</t>
  </si>
  <si>
    <t>儲存格 C5 到 D11 包含以下兩欄的資料：[年份] 和 [會議出席]。</t>
  </si>
  <si>
    <t>在表格中移至儲存格 C5 到 D11 之間的任一儲存格，例如移至儲存格 C6。按 CTRL+G，輸入 C6，然後按 Enter。</t>
  </si>
  <si>
    <t>系統會顯示幾個建議。按 Tab 以進入清單，然後使用方向鍵來找到名為 [群組直線圖] 的選項，再按 Enter。</t>
  </si>
  <si>
    <t>直條圖會顯示每年會議出席者的總數。您可以視需要使用方向鍵來移動圖表。</t>
  </si>
  <si>
    <t xml:space="preserve">現在，您將新增趨勢線。選取您剛剛建立的圖表，然後按 ALT+JC 以進入功能區上方的 [圖表工具] [設計] 索引標籤。 </t>
  </si>
  <si>
    <t>按 A 來新增圖表項目，然後按向下鍵來找出 [趨勢線] 選項。按向右鍵以開啟 [趨勢線] 選項，然後按向下鍵來瀏覽至 [線性] 選項，再按 Enter。現在，您會看到趨勢線顯示銷售數量在一段時間內的大致方向。</t>
  </si>
  <si>
    <t xml:space="preserve">祕笈：希望運算列表直接位於圖表底下嗎？請選取圖表，按 ALT+JC 以進入 [圖表工具] [設計] 索引標籤，然後按 A 來新增圖表項目。按向下鍵以找出 [運算列表] 選項，然後按向右鍵來開啟 [運算列表] 選項。按向下鍵，直到您找到 [有圖例符號] 選項。選取 [有圖例符號]，然後按 Enter 將圖例符號新增至圖表。
</t>
  </si>
  <si>
    <t>水平與垂直座標軸</t>
  </si>
  <si>
    <t xml:space="preserve">您可能已經在學校學過 X 軸和 Y 軸。Excel 也有這兩個座標軸，但名稱稍有不同。 </t>
  </si>
  <si>
    <t>在 Excel 中，這些座標軸稱為：</t>
  </si>
  <si>
    <t xml:space="preserve">• 橫跨於底部的 X 軸稱為水平座標軸。 </t>
  </si>
  <si>
    <t xml:space="preserve">• 上下延伸的 Y 軸稱為垂直座標軸。 </t>
  </si>
  <si>
    <t xml:space="preserve">每個座標軸都可以是數值座標軸或類別座標軸。 </t>
  </si>
  <si>
    <t xml:space="preserve">• 數值座標軸代表數值。例如，數值座標軸可以代表金額、小時、持續時間、溫度等等。圖表右側從儲存格 D30 開始的垂直座標軸為數值座標軸。 </t>
  </si>
  <si>
    <t xml:space="preserve">• 類別座標軸代表日期、人員名稱、產品名稱等資訊。右側圖表從儲存格 D30 開始的水平座標軸包含年份，因此這個水平座標軸為類別軸。 </t>
  </si>
  <si>
    <t>移至儲存格 A52 以查看下個指示。</t>
  </si>
  <si>
    <t>副座標軸</t>
  </si>
  <si>
    <t>您也可以在圖表中使用副座標軸。副座標軸是額外的數值座標軸，可顯示與其他數值座標軸不同的數值。</t>
  </si>
  <si>
    <t>右側圖表從儲存格 D52 開始的為常見範例。這個範例與上方圖表相同，但包含代表每月銷售額的額外副垂直座標軸。有些人說只要有副座標軸，就幾乎等同於擁有「二合一的圖表」，這種說法是對的。這種圖表融合了直條圖和折線圖，這種圖表在 Excel 中稱為「組合式圖表」。如果您想建立這種圖表，請選取儲存格 A70 中的超連結。</t>
  </si>
  <si>
    <t>儲存格 D67 到 F73 包含以下三欄的資料：[日期]、[會議出席] 及 [食物銷售]。[食物銷售] 包含的資料支援上述圖表的副座標軸。</t>
  </si>
  <si>
    <t>建立圖表的完整流程</t>
  </si>
  <si>
    <t>建立含有副座標軸的組合式圖表</t>
  </si>
  <si>
    <t>Office 中可用的圖表類型</t>
  </si>
  <si>
    <t>年份</t>
  </si>
  <si>
    <t>會議出席</t>
  </si>
  <si>
    <t>日期</t>
  </si>
  <si>
    <t>食物銷售</t>
  </si>
  <si>
    <t>使用樞紐分析表對資料進行摘要</t>
  </si>
  <si>
    <t>儲存格 C3 到 F9 包含以下四欄的資料：[日期]、[銷售人員]、[產品] 和 [金額]。</t>
  </si>
  <si>
    <t>查看 [日期]、[銷售人員]、[產品] 和 [金額] 欄。您可以快速識別哪項產品的獲利最豐厚嗎？或是哪個銷售人員的業績最高嗎？只要使用儲存格 E11 到 F15 的樞紐分析表就能協助識別這些資訊。</t>
  </si>
  <si>
    <t xml:space="preserve">建立樞紐分析表後，我們按幾個按鈕來對資料進行摘要。現在，我們知道哪項產品的獲利最豐厚。 </t>
  </si>
  <si>
    <t xml:space="preserve">接著，您將對資料進行樞紐分析，以便找出業績最高的銷售人員。按 CTRL+G，輸入 E12，然後按 Enter。您的選取範圍就會在樞紐分析表中。 </t>
  </si>
  <si>
    <t xml:space="preserve">按 SHIFT+F6，直到您進入 [樞紐分析表欄位] 窗格為止。如果窗格並未開啟，請按 ALT+JT，然後按 L，啟動 [樞紐分析表欄位] 窗格。焦點會預設為 [搜尋] 文字方塊：「鍵入要搜尋文字」以進行編輯。按 TAB，直到您到達 [產品] 按鈕為止。按空格鍵以進入操作功能表，然後按向下鍵，直到您存取 [移除] 欄位。按 Enter。 </t>
  </si>
  <si>
    <t>現在按 TAB，直到您可存取類別清單為止：[日期]、[銷售人員]、[產品] 和 [金額]。使用箭號來尋找 [銷售人員] 核取方塊。按空格鍵來新增 [銷售人員] 欄位。然後按 SHIFT + F6，直到您可存取 PivotTableSample 表格為止。然後移至儲存格 F12。安婕是業績最高的銷售人員，業績為 2150。</t>
  </si>
  <si>
    <t>建立樞紐分析表</t>
  </si>
  <si>
    <t>現在，您將自行建立樞紐分析表，以便需要對資料進行摘要時知道如何建立。</t>
  </si>
  <si>
    <t>儲存格 C34 到 F40 包含以下四欄的資料：[日期]、[銷售人員]、[產品] 和 [金額]。</t>
  </si>
  <si>
    <t>選取表格內的儲存格。例如，移至儲存格 E38，然後按 ALT+JT 來進入功能區上方的 [設計] 功能表。按 V 來插入樞紐分析表。</t>
  </si>
  <si>
    <t>[建立樞紐分析表] 對話方塊隨即出現。焦點會位於 [選取表格或範圍]。將此選項按鈕選項保持選取狀態，按 Tab 來選擇您要插入樞紐分析表的位置。系統會選取預設選項：[新工作表]。按向下鍵來選取 [已經存在的工作表]。按 Tab 以進入 [位置] 文字方塊，輸入 C42，然後按 Enter。</t>
  </si>
  <si>
    <t xml:space="preserve">[樞紐分析表欄位] 窗格會顯示在右側。按 SHIFT+F6，直到您進入 [搜尋] 文字方塊：輸入要搜尋文字以進行編輯。 </t>
  </si>
  <si>
    <t>按 Tab 以進入類別清單。按向下鍵來找出 [產品] 核取方塊。按空格鍵來選取 [產品]。
當您執行此動作時，就會將 [產品] 欄位加入窗格底部的 [列] 區域。產品資料會在新的樞紐分析表中顯示為 [列標籤]。</t>
  </si>
  <si>
    <t xml:space="preserve">現在，按向下鍵來找出 [金額] 核取方塊。
當您執行此動作時，就會將 [金額] 欄位加入窗格底部的 [值] 區域。同時，系統會加總樞紐分析表中的每項產品的金額。
</t>
  </si>
  <si>
    <t>恭喜您已建立樞紐分析表。但您還可以執行許多操作。若要深入了解，請移至儲存格 A60。</t>
  </si>
  <si>
    <t>移至儲存格 A58 以查看下個指示。</t>
  </si>
  <si>
    <t>建立樞紐分析表來分析工作表的資料</t>
  </si>
  <si>
    <t>使用 [欄位清單] 來排列樞紐分析表中的欄位</t>
  </si>
  <si>
    <t>銷售人員</t>
  </si>
  <si>
    <t>安婕</t>
  </si>
  <si>
    <t>秀晴</t>
  </si>
  <si>
    <t>啤酒</t>
  </si>
  <si>
    <t>紅酒</t>
  </si>
  <si>
    <t>汽水</t>
  </si>
  <si>
    <t>列標籤</t>
  </si>
  <si>
    <t>總計</t>
  </si>
  <si>
    <t>對 Excel 有其他問題嗎？</t>
  </si>
  <si>
    <t>按 ALT+Q，然後輸入您想了解的內容。</t>
  </si>
  <si>
    <t>請繼續進行。還有更多 Excel 的相關知識：</t>
  </si>
  <si>
    <t xml:space="preserve">社群：提出問題並與其他 Excel 粉絲交流互動。
</t>
  </si>
  <si>
    <t xml:space="preserve">還有什麼新功能？
Office 365 訂閱者會持續取得更新和新功能。
</t>
  </si>
  <si>
    <t>將公式向下填入至相鄰儲存格</t>
  </si>
  <si>
    <t>加總 - 金額</t>
  </si>
  <si>
    <t>儲存格 E53 到 E54 包含以下一欄的資料：[合計]。</t>
    <phoneticPr fontId="22" type="noConversion"/>
  </si>
  <si>
    <t>值得探究：還有另一種處理資料的方式。您可以查詢外部來源，然後分割來自該來源的資料。這個動作只要執行一次，之後可更新該資料且輕鬆使用。想了解嗎？選取 [資料] 索引標籤 (ALT+A)，然後瀏覽 [取得及轉換資料] 區域中的選項 (請按以下任一項：PN、FT、FW、PT、PR 或 X)。或者，移至儲存格 A80 以取得 Web 上的更多資訊。</t>
    <phoneticPr fontId="22" type="noConversion"/>
  </si>
  <si>
    <t>現在您將篩選資料，讓系統僅顯示 [烘焙] 列。移至儲存格 G5 [12 月]。按 CTRL+A 以選取所有儲存格，然後按 ALT+H 來進入 [常用] 索引標籤。按 S 以進入 [排序與篩選] 選項，然後使用方向鍵來找到 [篩選] 選項或按 F。</t>
    <phoneticPr fontId="22" type="noConversion"/>
  </si>
  <si>
    <t>移至儲存格 H34：[合計]。</t>
    <phoneticPr fontId="22" type="noConversion"/>
  </si>
  <si>
    <t>按 ALT+向下鍵，使用方向鍵來找到 [平均值] 選項，然後按 Enter。NT$3,000 的平均金額隨即會顯示。</t>
    <phoneticPr fontId="22" type="noConversion"/>
  </si>
  <si>
    <t>但如果您想知道平均值，該怎麼辦？選取儲存格 E62：NT$24,000。</t>
    <phoneticPr fontId="22" type="noConversion"/>
  </si>
  <si>
    <t xml:space="preserve">並將 NT$24,000 的合計結果加入儲存格 E62 的合計列中。 </t>
    <phoneticPr fontId="22" type="noConversion"/>
  </si>
  <si>
    <t>在 [資料] 索引標籤上選取 [資料驗證]，或按 ALT+A、V 來開啟 [資料驗證] 對話方塊。按 Tab 移至 [儲存格內允許]，然後選取 [清單]。再次按 Tab 鍵。</t>
    <phoneticPr fontId="22" type="noConversion"/>
  </si>
  <si>
    <t>現在，按 ALT+N 以進入功能區上方的 [插入] 圖表索引標籤。按 R 來顯示 [建議圖表] 選項。</t>
    <phoneticPr fontId="22" type="noConversion"/>
  </si>
  <si>
    <t xml:space="preserve">祕笈：嘗試建立組合式圖表。選取儲存格 D67 到 F73 來選取整份表格。使用 [快速分析] 選項 (CTRL+Q) 來找出 [圖表] 選項。按 Tab 以進入 [圖表] 選項，然後按向右鍵來選取 [其他圖表]。[建議圖表] 選項會隨即顯示。按向右鍵以選取 [所有圖表] 索引標籤，然後按向下鍵，直到您找到底部列出的 [組合圖] 選項。按 Tab 兩次以進入 [數列名稱] ：按向下鍵兩次以找出 [食物銷售]，然後再按 Tab 兩次來選取 [副座標軸] 選項。按空格鍵來啟用此選項，然後按 Enter。 
</t>
    <phoneticPr fontId="22" type="noConversion"/>
  </si>
  <si>
    <t>只需完成 10 個步驟，就能充分了解如何
使用 Excel 這款全球最熱門的試算表 App。</t>
    <phoneticPr fontId="22" type="noConversion"/>
  </si>
  <si>
    <t xml:space="preserve">祕笈：試著變更表格樣式。首先，選取表格內儲存格 C5 到 I14 之間的任一儲存格。Excel 頂端會隨即顯示 [表格設計] 索引標籤。按 ALT+JT 以進入功能區上方的 [設計] 索引標籤，然後按 S 來進入 [表格樣式]。使用方向鍵來瀏覽選項，然後選取想要的表格樣式。
</t>
  </si>
  <si>
    <t>在 Excel 視窗的頂端上，隨即顯示 [表格設計] 索引標籤。按 ALT+JT 以進入功能區上方的 [設計] 索引標籤，然後按 T 來從 [表格樣式選項] 中選取 [合計列]。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</si>
</sst>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_(* #,##0_);_(* \(#,##0\);_(* &quot;-&quot;_);_(@_)"/>
    <numFmt numFmtId="177" formatCode="_(* #,##0.00_);_(* \(#,##0.00\);_(* &quot;-&quot;??_);_(@_)"/>
    <numFmt numFmtId="178" formatCode="yyyy;@"/>
    <numFmt numFmtId="179" formatCode="&quot;NT$&quot;#,##0_);\(&quot;NT$&quot;#,##0\)"/>
    <numFmt numFmtId="180" formatCode="_-&quot;NT$&quot;* #,##0_ ;_-&quot;NT$&quot;* \-#,##0\ ;_-&quot;NT$&quot;* &quot;-&quot;_ ;_-@_ "/>
    <numFmt numFmtId="181" formatCode="&quot;NT$&quot;#,##0_);[Red]\(&quot;NT$&quot;#,##0\)"/>
  </numFmts>
  <fonts count="33" x14ac:knownFonts="1">
    <font>
      <sz val="11"/>
      <name val="Microsoft JhengHei UI"/>
      <family val="2"/>
    </font>
    <font>
      <u/>
      <sz val="11"/>
      <color theme="11"/>
      <name val="Calibri"/>
      <family val="2"/>
      <scheme val="minor"/>
    </font>
    <font>
      <sz val="11"/>
      <color theme="1"/>
      <name val="Microsoft JhengHei UI"/>
      <family val="2"/>
    </font>
    <font>
      <sz val="11"/>
      <color theme="0"/>
      <name val="Microsoft JhengHei UI"/>
      <family val="2"/>
    </font>
    <font>
      <sz val="11"/>
      <name val="Microsoft JhengHei UI"/>
      <family val="2"/>
    </font>
    <font>
      <sz val="11"/>
      <color rgb="FF006100"/>
      <name val="Microsoft JhengHei UI"/>
      <family val="2"/>
    </font>
    <font>
      <sz val="11"/>
      <color rgb="FF9C0006"/>
      <name val="Microsoft JhengHei UI"/>
      <family val="2"/>
    </font>
    <font>
      <u/>
      <sz val="11"/>
      <color theme="11"/>
      <name val="Microsoft JhengHei UI"/>
      <family val="2"/>
    </font>
    <font>
      <sz val="72"/>
      <color theme="0"/>
      <name val="Microsoft JhengHei UI"/>
      <family val="2"/>
    </font>
    <font>
      <sz val="17"/>
      <color theme="0"/>
      <name val="Microsoft JhengHei UI"/>
      <family val="2"/>
    </font>
    <font>
      <sz val="11"/>
      <color rgb="FF0B744D"/>
      <name val="Microsoft JhengHei UI"/>
      <family val="2"/>
    </font>
    <font>
      <b/>
      <sz val="11"/>
      <color theme="1"/>
      <name val="Microsoft JhengHei UI"/>
      <family val="2"/>
    </font>
    <font>
      <b/>
      <sz val="11"/>
      <color theme="0"/>
      <name val="Microsoft JhengHei UI"/>
      <family val="2"/>
    </font>
    <font>
      <i/>
      <sz val="11"/>
      <color rgb="FF7F7F7F"/>
      <name val="Microsoft JhengHei UI"/>
      <family val="2"/>
    </font>
    <font>
      <sz val="11"/>
      <color rgb="FFFF0000"/>
      <name val="Microsoft JhengHei UI"/>
      <family val="2"/>
    </font>
    <font>
      <b/>
      <sz val="11"/>
      <color rgb="FFFA7D00"/>
      <name val="Microsoft JhengHei UI"/>
      <family val="2"/>
    </font>
    <font>
      <u/>
      <sz val="11"/>
      <color theme="10"/>
      <name val="Microsoft JhengHei UI"/>
      <family val="2"/>
    </font>
    <font>
      <sz val="11"/>
      <color rgb="FF3F3F76"/>
      <name val="Microsoft JhengHei UI"/>
      <family val="2"/>
    </font>
    <font>
      <b/>
      <sz val="11"/>
      <color rgb="FF3F3F3F"/>
      <name val="Microsoft JhengHei UI"/>
      <family val="2"/>
    </font>
    <font>
      <sz val="11"/>
      <color rgb="FF9C5700"/>
      <name val="Microsoft JhengHei UI"/>
      <family val="2"/>
    </font>
    <font>
      <sz val="11"/>
      <color rgb="FFFA7D00"/>
      <name val="Microsoft JhengHei UI"/>
      <family val="2"/>
    </font>
    <font>
      <sz val="11"/>
      <color theme="1"/>
      <name val="Microsoft JhengHei UI"/>
      <family val="2"/>
      <charset val="136"/>
    </font>
    <font>
      <sz val="9"/>
      <name val="細明體"/>
      <family val="3"/>
      <charset val="136"/>
    </font>
    <font>
      <sz val="11"/>
      <color rgb="FF0B744D"/>
      <name val="Microsoft JhengHei UI"/>
      <family val="2"/>
      <charset val="136"/>
    </font>
    <font>
      <sz val="11"/>
      <name val="Microsoft JhengHei UI"/>
      <family val="2"/>
      <charset val="136"/>
    </font>
    <font>
      <sz val="72"/>
      <color theme="0"/>
      <name val="Microsoft JhengHei UI"/>
      <family val="2"/>
      <charset val="136"/>
    </font>
    <font>
      <sz val="17"/>
      <color theme="0"/>
      <name val="Microsoft JhengHei UI"/>
      <family val="2"/>
      <charset val="136"/>
    </font>
    <font>
      <sz val="11"/>
      <color theme="0"/>
      <name val="Microsoft JhengHei UI"/>
      <family val="2"/>
      <charset val="136"/>
    </font>
    <font>
      <sz val="12"/>
      <color theme="1"/>
      <name val="Microsoft JhengHei UI"/>
      <family val="2"/>
      <charset val="136"/>
    </font>
    <font>
      <sz val="24"/>
      <color theme="1"/>
      <name val="Microsoft JhengHei UI"/>
      <family val="2"/>
      <charset val="136"/>
    </font>
    <font>
      <sz val="26"/>
      <color theme="2" tint="-0.749992370372631"/>
      <name val="Microsoft JhengHei UI"/>
      <family val="2"/>
      <charset val="136"/>
    </font>
    <font>
      <sz val="12"/>
      <color theme="1" tint="0.249977111117893"/>
      <name val="Microsoft JhengHei UI"/>
      <family val="2"/>
      <charset val="136"/>
    </font>
    <font>
      <b/>
      <sz val="11"/>
      <color theme="1"/>
      <name val="Microsoft JhengHei UI"/>
      <family val="2"/>
      <charset val="136"/>
    </font>
  </fonts>
  <fills count="38">
    <fill>
      <patternFill patternType="none"/>
    </fill>
    <fill>
      <patternFill patternType="gray125"/>
    </fill>
    <fill>
      <patternFill patternType="solid">
        <fgColor rgb="FF339966"/>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FF99"/>
        <bgColor indexed="64"/>
      </patternFill>
    </fill>
    <fill>
      <patternFill patternType="solid">
        <fgColor rgb="FF217346"/>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style="thick">
        <color rgb="FFF4B183"/>
      </left>
      <right style="thick">
        <color rgb="FFF4B183"/>
      </right>
      <top style="thick">
        <color rgb="FFF4B183"/>
      </top>
      <bottom style="thick">
        <color rgb="FFF4B183"/>
      </bottom>
      <diagonal/>
    </border>
    <border>
      <left/>
      <right/>
      <top style="thin">
        <color rgb="FF339966"/>
      </top>
      <bottom/>
      <diagonal/>
    </border>
    <border>
      <left style="thin">
        <color rgb="FF339966"/>
      </left>
      <right/>
      <top/>
      <bottom/>
      <diagonal/>
    </border>
    <border>
      <left/>
      <right style="thin">
        <color rgb="FF339966"/>
      </right>
      <top/>
      <bottom/>
      <diagonal/>
    </border>
    <border>
      <left style="thin">
        <color rgb="FF339966"/>
      </left>
      <right/>
      <top/>
      <bottom style="thin">
        <color rgb="FF339966"/>
      </bottom>
      <diagonal/>
    </border>
    <border>
      <left/>
      <right/>
      <top/>
      <bottom style="thin">
        <color rgb="FF339966"/>
      </bottom>
      <diagonal/>
    </border>
    <border>
      <left/>
      <right style="thin">
        <color rgb="FF339966"/>
      </right>
      <top/>
      <bottom style="thin">
        <color rgb="FF339966"/>
      </bottom>
      <diagonal/>
    </border>
    <border>
      <left style="thin">
        <color indexed="64"/>
      </left>
      <right/>
      <top/>
      <bottom/>
      <diagonal/>
    </border>
    <border>
      <left/>
      <right/>
      <top style="thin">
        <color indexed="64"/>
      </top>
      <bottom/>
      <diagonal/>
    </border>
    <border>
      <left style="thin">
        <color rgb="FFB2B2B2"/>
      </left>
      <right style="thin">
        <color rgb="FFB2B2B2"/>
      </right>
      <top style="thin">
        <color rgb="FFB2B2B2"/>
      </top>
      <bottom style="thin">
        <color rgb="FFB2B2B2"/>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66">
    <xf numFmtId="0" fontId="0" fillId="0" borderId="0"/>
    <xf numFmtId="0" fontId="1" fillId="0" borderId="0" applyNumberFormat="0" applyFill="0" applyBorder="0" applyAlignment="0" applyProtection="0"/>
    <xf numFmtId="0" fontId="1" fillId="0" borderId="0" applyNumberFormat="0" applyFill="0" applyBorder="0" applyAlignment="0" applyProtection="0"/>
    <xf numFmtId="0" fontId="2" fillId="3" borderId="0"/>
    <xf numFmtId="0" fontId="2" fillId="5" borderId="10"/>
    <xf numFmtId="0" fontId="2" fillId="3" borderId="1"/>
    <xf numFmtId="0" fontId="2" fillId="0" borderId="8"/>
    <xf numFmtId="179" fontId="4" fillId="0" borderId="0" applyBorder="0" applyAlignment="0" applyProtection="0"/>
    <xf numFmtId="0" fontId="3" fillId="0" borderId="0"/>
    <xf numFmtId="0" fontId="10" fillId="0" borderId="0" applyFill="0" applyBorder="0">
      <alignment wrapText="1"/>
    </xf>
    <xf numFmtId="180" fontId="2" fillId="0" borderId="0" applyFont="0" applyFill="0" applyBorder="0" applyAlignment="0" applyProtection="0"/>
    <xf numFmtId="0" fontId="8" fillId="6" borderId="0" applyNumberFormat="0" applyBorder="0" applyProtection="0">
      <alignment horizontal="left" indent="1"/>
    </xf>
    <xf numFmtId="0" fontId="9" fillId="6" borderId="0" applyNumberFormat="0" applyProtection="0">
      <alignment horizontal="left" wrapText="1" indent="4"/>
    </xf>
    <xf numFmtId="0" fontId="10" fillId="6" borderId="0" applyNumberFormat="0" applyProtection="0">
      <alignment horizontal="left" wrapText="1" indent="4"/>
    </xf>
    <xf numFmtId="0" fontId="3" fillId="2" borderId="0" applyNumberFormat="0" applyBorder="0" applyProtection="0"/>
    <xf numFmtId="0" fontId="11" fillId="0" borderId="0" applyNumberFormat="0" applyFill="0" applyBorder="0" applyAlignment="0" applyProtection="0"/>
    <xf numFmtId="0" fontId="2" fillId="0" borderId="11" applyNumberFormat="0" applyFont="0" applyFill="0" applyAlignment="0"/>
    <xf numFmtId="0" fontId="2" fillId="0" borderId="3" applyNumberFormat="0" applyFont="0" applyFill="0" applyAlignment="0"/>
    <xf numFmtId="0" fontId="2" fillId="0" borderId="4" applyNumberFormat="0" applyFont="0" applyFill="0" applyAlignment="0"/>
    <xf numFmtId="0" fontId="2" fillId="0" borderId="6" applyNumberFormat="0" applyFont="0" applyFill="0" applyAlignment="0"/>
    <xf numFmtId="0" fontId="2" fillId="0" borderId="5" applyNumberFormat="0" applyFont="0" applyFill="0"/>
    <xf numFmtId="0" fontId="2" fillId="0" borderId="7" applyNumberFormat="0" applyFont="0" applyFill="0" applyAlignment="0"/>
    <xf numFmtId="181" fontId="2" fillId="4" borderId="0" applyFont="0" applyBorder="0" applyAlignment="0"/>
    <xf numFmtId="14" fontId="4" fillId="0" borderId="0" applyFill="0" applyBorder="0" applyAlignment="0"/>
    <xf numFmtId="178" fontId="2" fillId="0" borderId="0" applyFont="0" applyFill="0" applyBorder="0" applyAlignment="0"/>
    <xf numFmtId="0" fontId="16" fillId="0" borderId="0" applyNumberFormat="0" applyFill="0" applyBorder="0" applyAlignment="0" applyProtection="0"/>
    <xf numFmtId="0" fontId="7" fillId="0" borderId="0" applyNumberFormat="0" applyFill="0" applyBorder="0" applyAlignment="0" applyProtection="0"/>
    <xf numFmtId="177" fontId="4" fillId="0" borderId="0" applyFont="0" applyFill="0" applyBorder="0" applyAlignment="0" applyProtection="0"/>
    <xf numFmtId="176" fontId="4" fillId="0" borderId="0" applyFont="0" applyFill="0" applyBorder="0" applyAlignment="0" applyProtection="0"/>
    <xf numFmtId="9" fontId="4" fillId="0" borderId="0" applyFont="0" applyFill="0" applyBorder="0" applyAlignment="0" applyProtection="0"/>
    <xf numFmtId="0" fontId="5" fillId="7" borderId="0" applyNumberFormat="0" applyBorder="0" applyAlignment="0" applyProtection="0"/>
    <xf numFmtId="0" fontId="6" fillId="8" borderId="0" applyNumberFormat="0" applyBorder="0" applyAlignment="0" applyProtection="0"/>
    <xf numFmtId="0" fontId="19" fillId="9" borderId="0" applyNumberFormat="0" applyBorder="0" applyAlignment="0" applyProtection="0"/>
    <xf numFmtId="0" fontId="17" fillId="10" borderId="12" applyNumberFormat="0" applyAlignment="0" applyProtection="0"/>
    <xf numFmtId="0" fontId="18" fillId="11" borderId="13" applyNumberFormat="0" applyAlignment="0" applyProtection="0"/>
    <xf numFmtId="0" fontId="15" fillId="11" borderId="12" applyNumberFormat="0" applyAlignment="0" applyProtection="0"/>
    <xf numFmtId="0" fontId="20" fillId="0" borderId="14" applyNumberFormat="0" applyFill="0" applyAlignment="0" applyProtection="0"/>
    <xf numFmtId="0" fontId="12" fillId="12" borderId="15" applyNumberFormat="0" applyAlignment="0" applyProtection="0"/>
    <xf numFmtId="0" fontId="14" fillId="0" borderId="0" applyNumberFormat="0" applyFill="0" applyBorder="0" applyAlignment="0" applyProtection="0"/>
    <xf numFmtId="0" fontId="4" fillId="13" borderId="10" applyNumberFormat="0" applyFont="0" applyAlignment="0" applyProtection="0"/>
    <xf numFmtId="0" fontId="13" fillId="0" borderId="0" applyNumberFormat="0" applyFill="0" applyBorder="0" applyAlignment="0" applyProtection="0"/>
    <xf numFmtId="0" fontId="11" fillId="0" borderId="16" applyNumberFormat="0" applyFill="0" applyAlignment="0" applyProtection="0"/>
    <xf numFmtId="0" fontId="3"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3"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3"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3"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3"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3"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cellStyleXfs>
  <cellXfs count="62">
    <xf numFmtId="0" fontId="0" fillId="0" borderId="0" xfId="0"/>
    <xf numFmtId="0" fontId="3" fillId="0" borderId="0" xfId="8"/>
    <xf numFmtId="0" fontId="3" fillId="2" borderId="0" xfId="0" applyFont="1" applyFill="1"/>
    <xf numFmtId="0" fontId="23" fillId="6" borderId="0" xfId="9" applyFont="1" applyFill="1">
      <alignment wrapText="1"/>
    </xf>
    <xf numFmtId="0" fontId="24" fillId="0" borderId="0" xfId="0" applyFont="1"/>
    <xf numFmtId="0" fontId="25" fillId="6" borderId="0" xfId="11" applyFont="1">
      <alignment horizontal="left" indent="1"/>
    </xf>
    <xf numFmtId="0" fontId="26" fillId="6" borderId="0" xfId="12" applyFont="1">
      <alignment horizontal="left" wrapText="1" indent="4"/>
    </xf>
    <xf numFmtId="0" fontId="23" fillId="6" borderId="0" xfId="13" applyFont="1">
      <alignment horizontal="left" wrapText="1" indent="4"/>
    </xf>
    <xf numFmtId="0" fontId="27" fillId="0" borderId="0" xfId="8" applyFont="1"/>
    <xf numFmtId="0" fontId="28" fillId="0" borderId="0" xfId="0" applyFont="1"/>
    <xf numFmtId="0" fontId="29" fillId="0" borderId="0" xfId="0" applyFont="1"/>
    <xf numFmtId="0" fontId="27" fillId="0" borderId="0" xfId="8" applyFont="1" applyAlignment="1">
      <alignment wrapText="1"/>
    </xf>
    <xf numFmtId="0" fontId="29" fillId="0" borderId="0" xfId="0" applyFont="1" applyAlignment="1">
      <alignment vertical="center"/>
    </xf>
    <xf numFmtId="0" fontId="24" fillId="0" borderId="0" xfId="0" applyFont="1" applyAlignment="1"/>
    <xf numFmtId="14" fontId="24" fillId="0" borderId="0" xfId="23" applyNumberFormat="1" applyFont="1"/>
    <xf numFmtId="180" fontId="24" fillId="0" borderId="0" xfId="10" applyNumberFormat="1" applyFont="1" applyAlignment="1">
      <alignment horizontal="right"/>
    </xf>
    <xf numFmtId="0" fontId="24" fillId="0" borderId="0" xfId="0" applyFont="1" applyAlignment="1">
      <alignment horizontal="left"/>
    </xf>
    <xf numFmtId="0" fontId="27" fillId="2" borderId="0" xfId="0" applyFont="1" applyFill="1" applyAlignment="1"/>
    <xf numFmtId="0" fontId="24" fillId="3" borderId="0" xfId="0" applyFont="1" applyFill="1"/>
    <xf numFmtId="179" fontId="24" fillId="0" borderId="0" xfId="7" applyNumberFormat="1" applyFont="1"/>
    <xf numFmtId="0" fontId="27" fillId="2" borderId="0" xfId="14" applyFont="1"/>
    <xf numFmtId="0" fontId="21" fillId="3" borderId="0" xfId="3" applyFont="1"/>
    <xf numFmtId="0" fontId="21" fillId="5" borderId="10" xfId="4" applyFont="1"/>
    <xf numFmtId="0" fontId="27" fillId="2" borderId="0" xfId="14" applyNumberFormat="1" applyFont="1" applyFill="1" applyBorder="1" applyAlignment="1"/>
    <xf numFmtId="0" fontId="24" fillId="3" borderId="0" xfId="3" applyNumberFormat="1" applyFont="1" applyFill="1" applyBorder="1" applyAlignment="1"/>
    <xf numFmtId="0" fontId="30" fillId="0" borderId="0" xfId="0" applyFont="1" applyAlignment="1"/>
    <xf numFmtId="0" fontId="31" fillId="0" borderId="0" xfId="0" applyFont="1" applyAlignment="1"/>
    <xf numFmtId="0" fontId="31" fillId="0" borderId="0" xfId="0" applyFont="1" applyAlignment="1">
      <alignment horizontal="left"/>
    </xf>
    <xf numFmtId="179" fontId="24" fillId="3" borderId="0" xfId="7" applyNumberFormat="1" applyFont="1" applyFill="1"/>
    <xf numFmtId="0" fontId="24" fillId="0" borderId="0" xfId="0" applyFont="1" applyFill="1"/>
    <xf numFmtId="181" fontId="24" fillId="0" borderId="0" xfId="0" applyNumberFormat="1" applyFont="1" applyFill="1"/>
    <xf numFmtId="181" fontId="24" fillId="4" borderId="0" xfId="22" applyNumberFormat="1" applyFont="1"/>
    <xf numFmtId="0" fontId="24" fillId="0" borderId="0" xfId="0" applyFont="1" applyBorder="1"/>
    <xf numFmtId="0" fontId="24" fillId="0" borderId="3" xfId="17" applyFont="1" applyFill="1"/>
    <xf numFmtId="0" fontId="24" fillId="0" borderId="2" xfId="0" applyFont="1" applyFill="1" applyBorder="1"/>
    <xf numFmtId="0" fontId="24" fillId="0" borderId="4" xfId="18" applyFont="1" applyFill="1"/>
    <xf numFmtId="0" fontId="24" fillId="0" borderId="0" xfId="0" applyFont="1" applyFill="1" applyBorder="1"/>
    <xf numFmtId="0" fontId="24" fillId="0" borderId="5" xfId="20" applyFont="1" applyFill="1"/>
    <xf numFmtId="0" fontId="24" fillId="0" borderId="6" xfId="0" applyFont="1" applyFill="1" applyBorder="1"/>
    <xf numFmtId="0" fontId="24" fillId="0" borderId="7" xfId="18" applyFont="1" applyFill="1" applyBorder="1"/>
    <xf numFmtId="0" fontId="24" fillId="0" borderId="0" xfId="0" applyFont="1" applyBorder="1" applyAlignment="1">
      <alignment horizontal="left"/>
    </xf>
    <xf numFmtId="0" fontId="24" fillId="0" borderId="0" xfId="0" applyFont="1" applyBorder="1" applyAlignment="1"/>
    <xf numFmtId="0" fontId="24" fillId="3" borderId="0" xfId="3" applyFont="1"/>
    <xf numFmtId="0" fontId="24" fillId="3" borderId="11" xfId="16" applyFont="1" applyFill="1"/>
    <xf numFmtId="0" fontId="24" fillId="0" borderId="11" xfId="16" applyFont="1"/>
    <xf numFmtId="0" fontId="24" fillId="0" borderId="9" xfId="0" applyFont="1" applyBorder="1"/>
    <xf numFmtId="0" fontId="27" fillId="2" borderId="0" xfId="14" applyFont="1" applyBorder="1"/>
    <xf numFmtId="0" fontId="27" fillId="0" borderId="0" xfId="8" applyFont="1" applyAlignment="1"/>
    <xf numFmtId="0" fontId="21" fillId="0" borderId="0" xfId="0" applyFont="1"/>
    <xf numFmtId="0" fontId="21" fillId="0" borderId="0" xfId="0" applyFont="1" applyAlignment="1"/>
    <xf numFmtId="0" fontId="21" fillId="0" borderId="0" xfId="0" applyFont="1" applyAlignment="1">
      <alignment horizontal="left"/>
    </xf>
    <xf numFmtId="0" fontId="21" fillId="3" borderId="11" xfId="16" applyFont="1" applyFill="1"/>
    <xf numFmtId="0" fontId="32" fillId="3" borderId="0" xfId="15" applyFont="1" applyFill="1"/>
    <xf numFmtId="0" fontId="21" fillId="3" borderId="1" xfId="5" applyFont="1"/>
    <xf numFmtId="0" fontId="21" fillId="0" borderId="0" xfId="0" applyFont="1" applyAlignment="1">
      <alignment horizontal="left" indent="1"/>
    </xf>
    <xf numFmtId="14" fontId="4" fillId="0" borderId="0" xfId="23"/>
    <xf numFmtId="179" fontId="4" fillId="0" borderId="0" xfId="7"/>
    <xf numFmtId="179" fontId="24" fillId="0" borderId="0" xfId="7" applyFont="1" applyAlignment="1"/>
    <xf numFmtId="0" fontId="3" fillId="2" borderId="0" xfId="14" applyFont="1"/>
    <xf numFmtId="0" fontId="0" fillId="0" borderId="0" xfId="0" pivotButton="1"/>
    <xf numFmtId="0" fontId="0" fillId="0" borderId="0" xfId="0" applyAlignment="1">
      <alignment horizontal="left"/>
    </xf>
    <xf numFmtId="180" fontId="0" fillId="0" borderId="0" xfId="0" applyNumberFormat="1"/>
  </cellXfs>
  <cellStyles count="66">
    <cellStyle name="20% - 輔色1" xfId="43" builtinId="30" customBuiltin="1"/>
    <cellStyle name="20% - 輔色2" xfId="47" builtinId="34" customBuiltin="1"/>
    <cellStyle name="20% - 輔色3" xfId="51" builtinId="38" customBuiltin="1"/>
    <cellStyle name="20% - 輔色4" xfId="55" builtinId="42" customBuiltin="1"/>
    <cellStyle name="20% - 輔色5" xfId="59" builtinId="46" customBuiltin="1"/>
    <cellStyle name="20% - 輔色6" xfId="63" builtinId="50" customBuiltin="1"/>
    <cellStyle name="40% - 輔色1" xfId="44" builtinId="31" customBuiltin="1"/>
    <cellStyle name="40% - 輔色2" xfId="48" builtinId="35" customBuiltin="1"/>
    <cellStyle name="40% - 輔色3" xfId="52" builtinId="39" customBuiltin="1"/>
    <cellStyle name="40% - 輔色4" xfId="56" builtinId="43" customBuiltin="1"/>
    <cellStyle name="40% - 輔色5" xfId="60" builtinId="47" customBuiltin="1"/>
    <cellStyle name="40% - 輔色6" xfId="64" builtinId="51" customBuiltin="1"/>
    <cellStyle name="60% - 輔色1" xfId="45" builtinId="32" customBuiltin="1"/>
    <cellStyle name="60% - 輔色2" xfId="49" builtinId="36" customBuiltin="1"/>
    <cellStyle name="60% - 輔色3" xfId="53" builtinId="40" customBuiltin="1"/>
    <cellStyle name="60% - 輔色4" xfId="57" builtinId="44" customBuiltin="1"/>
    <cellStyle name="60% - 輔色5" xfId="61" builtinId="48" customBuiltin="1"/>
    <cellStyle name="60% - 輔色6" xfId="65" builtinId="52" customBuiltin="1"/>
    <cellStyle name="z A 欄文字" xfId="8" xr:uid="{00000000-0005-0000-0000-000018000000}"/>
    <cellStyle name="一般" xfId="0" builtinId="0" customBuiltin="1"/>
    <cellStyle name="下框線" xfId="16" xr:uid="{00000000-0005-0000-0000-000000000000}"/>
    <cellStyle name="千分位" xfId="27" builtinId="3" customBuiltin="1"/>
    <cellStyle name="千分位[0]" xfId="28" builtinId="6" customBuiltin="1"/>
    <cellStyle name="已瀏覽過的超連結" xfId="1" builtinId="9" hidden="1"/>
    <cellStyle name="已瀏覽過的超連結" xfId="2" builtinId="9" hidden="1"/>
    <cellStyle name="已瀏覽過的超連結" xfId="26" builtinId="9" customBuiltin="1"/>
    <cellStyle name="中等" xfId="32" builtinId="28" customBuiltin="1"/>
    <cellStyle name="日期" xfId="23" xr:uid="{00000000-0005-0000-0000-000004000000}"/>
    <cellStyle name="左框線" xfId="6" xr:uid="{00000000-0005-0000-0000-00000D000000}"/>
    <cellStyle name="合計" xfId="41" builtinId="25" customBuiltin="1"/>
    <cellStyle name="好" xfId="30" builtinId="26" customBuiltin="1"/>
    <cellStyle name="年份" xfId="24" xr:uid="{00000000-0005-0000-0000-000016000000}"/>
    <cellStyle name="灰色儲存格" xfId="3" xr:uid="{00000000-0005-0000-0000-000007000000}"/>
    <cellStyle name="百分比" xfId="29" builtinId="5" customBuiltin="1"/>
    <cellStyle name="計算方式" xfId="35" builtinId="22" customBuiltin="1"/>
    <cellStyle name="貨幣" xfId="7" builtinId="4" customBuiltin="1"/>
    <cellStyle name="貨幣 [0]" xfId="10" builtinId="7" customBuiltin="1"/>
    <cellStyle name="連結的儲存格" xfId="36" builtinId="24" customBuiltin="1"/>
    <cellStyle name="備註" xfId="39" builtinId="10" customBuiltin="1"/>
    <cellStyle name="超連結" xfId="25" builtinId="8" customBuiltin="1"/>
    <cellStyle name="開始文字" xfId="9" xr:uid="{00000000-0005-0000-0000-000014000000}"/>
    <cellStyle name="黃色儲存格" xfId="4" xr:uid="{00000000-0005-0000-0000-000017000000}"/>
    <cellStyle name="綠色下框線" xfId="19" xr:uid="{00000000-0005-0000-0000-000001000000}"/>
    <cellStyle name="綠色右下角框線" xfId="21" xr:uid="{00000000-0005-0000-0000-000012000000}"/>
    <cellStyle name="綠色右框線" xfId="18" xr:uid="{00000000-0005-0000-0000-000013000000}"/>
    <cellStyle name="綠色左下角框線" xfId="20" xr:uid="{00000000-0005-0000-0000-00000E000000}"/>
    <cellStyle name="綠色左框線" xfId="17" xr:uid="{00000000-0005-0000-0000-00000F000000}"/>
    <cellStyle name="說明文字" xfId="40" builtinId="53" customBuiltin="1"/>
    <cellStyle name="輔色1" xfId="42" builtinId="29" customBuiltin="1"/>
    <cellStyle name="輔色2" xfId="46" builtinId="33" customBuiltin="1"/>
    <cellStyle name="輔色3" xfId="50" builtinId="37" customBuiltin="1"/>
    <cellStyle name="輔色4" xfId="54" builtinId="41" customBuiltin="1"/>
    <cellStyle name="輔色5" xfId="58" builtinId="45" customBuiltin="1"/>
    <cellStyle name="輔色6" xfId="62" builtinId="49" customBuiltin="1"/>
    <cellStyle name="標題" xfId="11" builtinId="15" customBuiltin="1"/>
    <cellStyle name="標題 1" xfId="12" builtinId="16" customBuiltin="1"/>
    <cellStyle name="標題 2" xfId="13" builtinId="17" customBuiltin="1"/>
    <cellStyle name="標題 3" xfId="14" builtinId="18" customBuiltin="1"/>
    <cellStyle name="標題 4" xfId="15" builtinId="19" customBuiltin="1"/>
    <cellStyle name="橘色框線" xfId="5" xr:uid="{00000000-0005-0000-0000-000011000000}"/>
    <cellStyle name="輸入" xfId="33" builtinId="20" customBuiltin="1"/>
    <cellStyle name="輸出" xfId="34" builtinId="21" customBuiltin="1"/>
    <cellStyle name="醒目提示" xfId="22" xr:uid="{00000000-0005-0000-0000-00000C000000}"/>
    <cellStyle name="檢查儲存格" xfId="37" builtinId="23" customBuiltin="1"/>
    <cellStyle name="壞" xfId="31" builtinId="27" customBuiltin="1"/>
    <cellStyle name="警告文字" xfId="38" builtinId="11" customBuiltin="1"/>
  </cellStyles>
  <dxfs count="71">
    <dxf>
      <numFmt numFmtId="182" formatCode="&quot;$&quot;#,##0_);\(&quot;$&quot;#,##0\)"/>
    </dxf>
    <dxf>
      <numFmt numFmtId="180" formatCode="_-&quot;NT$&quot;* #,##0_ ;_-&quot;NT$&quot;* \-#,##0\ ;_-&quot;NT$&quot;* &quot;-&quot;_ ;_-@_ "/>
    </dxf>
    <dxf>
      <numFmt numFmtId="180" formatCode="_-&quot;NT$&quot;* #,##0_ ;_-&quot;NT$&quot;* \-#,##0\ ;_-&quot;NT$&quot;* &quot;-&quot;_ ;_-@_ "/>
    </dxf>
    <dxf>
      <font>
        <b val="0"/>
        <i val="0"/>
        <strike val="0"/>
        <condense val="0"/>
        <extend val="0"/>
        <outline val="0"/>
        <shadow val="0"/>
        <u val="none"/>
        <vertAlign val="baseline"/>
        <sz val="11"/>
        <color auto="1"/>
        <name val="Microsoft JhengHei UI"/>
        <family val="2"/>
        <charset val="136"/>
        <scheme val="none"/>
      </font>
      <alignment horizontal="right" vertical="bottom" textRotation="0" wrapText="0" indent="0" justifyLastLine="0" shrinkToFit="0" readingOrder="0"/>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b val="0"/>
        <i val="0"/>
        <strike val="0"/>
        <condense val="0"/>
        <extend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b val="0"/>
        <i val="0"/>
        <strike val="0"/>
        <condense val="0"/>
        <extend val="0"/>
        <outline val="0"/>
        <shadow val="0"/>
        <u val="none"/>
        <vertAlign val="baseline"/>
        <sz val="11"/>
        <color auto="1"/>
        <name val="Microsoft JhengHei UI"/>
        <family val="2"/>
        <charset val="136"/>
        <scheme val="none"/>
      </font>
      <alignment horizontal="right" vertical="bottom" textRotation="0" wrapText="0" indent="0" justifyLastLine="0" shrinkToFit="0" readingOrder="0"/>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numFmt numFmtId="180" formatCode="_-&quot;NT$&quot;* #,##0_ ;_-&quot;NT$&quot;* \-#,##0\ ;_-&quot;NT$&quot;* &quot;-&quot;_ ;_-@_ "/>
    </dxf>
    <dxf>
      <numFmt numFmtId="180" formatCode="_-&quot;NT$&quot;* #,##0_ ;_-&quot;NT$&quot;* \-#,##0\ ;_-&quot;NT$&quot;* &quot;-&quot;_ ;_-@_ "/>
    </dxf>
    <dxf>
      <numFmt numFmtId="182" formatCode="&quot;$&quot;#,##0_);\(&quot;$&quot;#,##0\)"/>
    </dxf>
    <dxf>
      <font>
        <b val="0"/>
        <i val="0"/>
        <strike val="0"/>
        <condense val="0"/>
        <extend val="0"/>
        <outline val="0"/>
        <shadow val="0"/>
        <u val="none"/>
        <vertAlign val="baseline"/>
        <sz val="11"/>
        <color auto="1"/>
        <name val="Microsoft JhengHei UI"/>
        <family val="2"/>
        <scheme val="none"/>
      </font>
      <numFmt numFmtId="179" formatCode="&quot;NT$&quot;#,##0_);\(&quot;NT$&quot;#,##0\)"/>
      <fill>
        <patternFill patternType="none">
          <fgColor indexed="64"/>
          <bgColor indexed="65"/>
        </patternFill>
      </fill>
      <alignment horizontal="general" vertical="bottom" textRotation="0" wrapText="0" indent="0" justifyLastLine="0" shrinkToFit="0" readingOrder="0"/>
    </dxf>
    <dxf>
      <font>
        <strike val="0"/>
        <outline val="0"/>
        <shadow val="0"/>
        <u val="none"/>
        <vertAlign val="baseline"/>
        <sz val="11"/>
        <name val="Microsoft JhengHei UI"/>
        <family val="2"/>
        <charset val="136"/>
        <scheme val="none"/>
      </font>
      <alignment horizontal="general" vertical="bottom" textRotation="0" wrapText="0" indent="0" justifyLastLine="0" shrinkToFit="0" readingOrder="0"/>
    </dxf>
    <dxf>
      <font>
        <strike val="0"/>
        <outline val="0"/>
        <shadow val="0"/>
        <u val="none"/>
        <vertAlign val="baseline"/>
        <sz val="11"/>
        <name val="Microsoft JhengHei UI"/>
        <family val="2"/>
        <charset val="136"/>
        <scheme val="none"/>
      </font>
    </dxf>
    <dxf>
      <numFmt numFmtId="0" formatCode="General"/>
      <protection locked="1" hidden="0"/>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numFmt numFmtId="179" formatCode="&quot;NT$&quot;#,##0_);\(&quot;NT$&quot;#,##0\)"/>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numFmt numFmtId="179" formatCode="&quot;NT$&quot;#,##0_);\(&quot;NT$&quot;#,##0\)"/>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font>
        <strike val="0"/>
        <outline val="0"/>
        <shadow val="0"/>
        <u val="none"/>
        <vertAlign val="baseline"/>
        <sz val="11"/>
        <color auto="1"/>
        <name val="Microsoft JhengHei UI"/>
        <family val="2"/>
        <charset val="136"/>
        <scheme val="none"/>
      </font>
    </dxf>
    <dxf>
      <numFmt numFmtId="179" formatCode="&quot;NT$&quot;#,##0_);\(&quot;NT$&quot;#,##0\)"/>
    </dxf>
    <dxf>
      <font>
        <strike val="0"/>
        <outline val="0"/>
        <shadow val="0"/>
        <u val="none"/>
        <vertAlign val="baseline"/>
        <sz val="11"/>
        <name val="Microsoft JhengHei UI"/>
        <family val="2"/>
        <charset val="136"/>
        <scheme val="none"/>
      </font>
      <fill>
        <patternFill patternType="none">
          <fgColor indexed="64"/>
          <bgColor auto="1"/>
        </patternFill>
      </fill>
    </dxf>
    <dxf>
      <font>
        <strike val="0"/>
        <outline val="0"/>
        <shadow val="0"/>
        <u val="none"/>
        <vertAlign val="baseline"/>
        <sz val="11"/>
        <name val="Microsoft JhengHei UI"/>
        <family val="2"/>
        <charset val="136"/>
        <scheme val="none"/>
      </font>
      <fill>
        <patternFill patternType="none">
          <fgColor indexed="64"/>
          <bgColor auto="1"/>
        </patternFill>
      </fill>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numFmt numFmtId="0" formatCode="General"/>
    </dxf>
    <dxf>
      <numFmt numFmtId="0" formatCode="General"/>
    </dxf>
    <dxf>
      <numFmt numFmtId="0" formatCode="General"/>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font>
        <strike val="0"/>
        <outline val="0"/>
        <shadow val="0"/>
        <u val="none"/>
        <vertAlign val="baseline"/>
        <sz val="11"/>
        <name val="Microsoft JhengHei UI"/>
        <family val="2"/>
        <charset val="136"/>
        <scheme val="none"/>
      </font>
    </dxf>
    <dxf>
      <numFmt numFmtId="181" formatCode="&quot;NT$&quot;#,##0_);[Red]\(&quot;NT$&quot;#,##0\)"/>
    </dxf>
    <dxf>
      <numFmt numFmtId="181" formatCode="&quot;NT$&quot;#,##0_);[Red]\(&quot;NT$&quot;#,##0\)"/>
    </dxf>
    <dxf>
      <numFmt numFmtId="181" formatCode="&quot;NT$&quot;#,##0_);[Red]\(&quot;NT$&quot;#,##0\)"/>
    </dxf>
    <dxf>
      <numFmt numFmtId="181" formatCode="&quot;NT$&quot;#,##0_);[Red]\(&quot;NT$&quot;#,##0\)"/>
    </dxf>
    <dxf>
      <numFmt numFmtId="181" formatCode="&quot;NT$&quot;#,##0_);[Red]\(&quot;NT$&quot;#,##0\)"/>
    </dxf>
    <dxf>
      <numFmt numFmtId="181" formatCode="&quot;NT$&quot;#,##0_);[Red]\(&quot;NT$&quot;#,##0\)"/>
    </dxf>
    <dxf>
      <font>
        <color theme="0"/>
      </font>
      <fill>
        <patternFill>
          <bgColor rgb="FF359966"/>
        </patternFill>
      </fill>
    </dxf>
    <dxf>
      <font>
        <color theme="0"/>
      </font>
      <fill>
        <patternFill>
          <bgColor rgb="FF359966"/>
        </patternFill>
      </fill>
    </dxf>
    <dxf>
      <fill>
        <patternFill>
          <bgColor theme="0" tint="-4.9989318521683403E-2"/>
        </patternFill>
      </fill>
    </dxf>
    <dxf>
      <font>
        <color theme="0"/>
      </font>
      <fill>
        <patternFill>
          <bgColor rgb="FF339966"/>
        </patternFill>
      </fill>
    </dxf>
  </dxfs>
  <tableStyles count="2" defaultPivotStyle="PivotStyleLight16">
    <tableStyle name="自訂表格樣式" pivot="0" count="2" xr9:uid="{00000000-0011-0000-FFFF-FFFF00000000}">
      <tableStyleElement type="headerRow" dxfId="70"/>
      <tableStyleElement type="firstRowStripe" dxfId="69"/>
    </tableStyle>
    <tableStyle name="樞紐分析表樣式 1" table="0" count="2" xr9:uid="{00000000-0011-0000-FFFF-FFFF01000000}">
      <tableStyleElement type="headerRow" dxfId="68"/>
      <tableStyleElement type="totalRow" dxfId="67"/>
    </tableStyle>
  </tableStyles>
  <colors>
    <mruColors>
      <color rgb="FF339966"/>
      <color rgb="FF217346"/>
      <color rgb="FFFFFF99"/>
      <color rgb="FFF4B183"/>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'9. 圖表'!$E$67</c:f>
              <c:strCache>
                <c:ptCount val="1"/>
                <c:pt idx="0">
                  <c:v>會議出席</c:v>
                </c:pt>
              </c:strCache>
            </c:strRef>
          </c:tx>
          <c:spPr>
            <a:solidFill>
              <a:schemeClr val="accent1"/>
            </a:solidFill>
            <a:ln>
              <a:noFill/>
            </a:ln>
            <a:effectLst/>
          </c:spPr>
          <c:invertIfNegative val="0"/>
          <c:cat>
            <c:numRef>
              <c:f>'9. 圖表'!$D$68:$D$73</c:f>
              <c:numCache>
                <c:formatCode>General</c:formatCode>
                <c:ptCount val="6"/>
                <c:pt idx="0">
                  <c:v>2021</c:v>
                </c:pt>
                <c:pt idx="1">
                  <c:v>2022</c:v>
                </c:pt>
                <c:pt idx="2">
                  <c:v>2023</c:v>
                </c:pt>
                <c:pt idx="3">
                  <c:v>2024</c:v>
                </c:pt>
                <c:pt idx="4">
                  <c:v>2025</c:v>
                </c:pt>
                <c:pt idx="5">
                  <c:v>2026</c:v>
                </c:pt>
              </c:numCache>
            </c:numRef>
          </c:cat>
          <c:val>
            <c:numRef>
              <c:f>'9. 圖表'!$E$68:$E$73</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4EB9-419C-BF50-9C64FF4AE13F}"/>
            </c:ext>
          </c:extLst>
        </c:ser>
        <c:dLbls>
          <c:showLegendKey val="0"/>
          <c:showVal val="0"/>
          <c:showCatName val="0"/>
          <c:showSerName val="0"/>
          <c:showPercent val="0"/>
          <c:showBubbleSize val="0"/>
        </c:dLbls>
        <c:gapWidth val="219"/>
        <c:overlap val="-27"/>
        <c:axId val="740109584"/>
        <c:axId val="740109912"/>
      </c:barChart>
      <c:lineChart>
        <c:grouping val="standard"/>
        <c:varyColors val="0"/>
        <c:ser>
          <c:idx val="1"/>
          <c:order val="1"/>
          <c:tx>
            <c:strRef>
              <c:f>'9. 圖表'!$F$67</c:f>
              <c:strCache>
                <c:ptCount val="1"/>
                <c:pt idx="0">
                  <c:v>食物銷售</c:v>
                </c:pt>
              </c:strCache>
            </c:strRef>
          </c:tx>
          <c:spPr>
            <a:ln w="28575" cap="rnd">
              <a:solidFill>
                <a:schemeClr val="accent2"/>
              </a:solidFill>
              <a:round/>
            </a:ln>
            <a:effectLst/>
          </c:spPr>
          <c:marker>
            <c:symbol val="none"/>
          </c:marker>
          <c:cat>
            <c:numRef>
              <c:f>'9. 圖表'!$D$68:$D$73</c:f>
              <c:numCache>
                <c:formatCode>General</c:formatCode>
                <c:ptCount val="6"/>
                <c:pt idx="0">
                  <c:v>2021</c:v>
                </c:pt>
                <c:pt idx="1">
                  <c:v>2022</c:v>
                </c:pt>
                <c:pt idx="2">
                  <c:v>2023</c:v>
                </c:pt>
                <c:pt idx="3">
                  <c:v>2024</c:v>
                </c:pt>
                <c:pt idx="4">
                  <c:v>2025</c:v>
                </c:pt>
                <c:pt idx="5">
                  <c:v>2026</c:v>
                </c:pt>
              </c:numCache>
            </c:numRef>
          </c:cat>
          <c:val>
            <c:numRef>
              <c:f>'9. 圖表'!$F$68:$F$73</c:f>
              <c:numCache>
                <c:formatCode>"NT$"#,##0_);\("NT$"#,##0\)</c:formatCode>
                <c:ptCount val="6"/>
                <c:pt idx="0">
                  <c:v>5000</c:v>
                </c:pt>
                <c:pt idx="1">
                  <c:v>11200</c:v>
                </c:pt>
                <c:pt idx="2">
                  <c:v>30000</c:v>
                </c:pt>
                <c:pt idx="3">
                  <c:v>25000</c:v>
                </c:pt>
                <c:pt idx="4">
                  <c:v>5000</c:v>
                </c:pt>
                <c:pt idx="5">
                  <c:v>8000</c:v>
                </c:pt>
              </c:numCache>
            </c:numRef>
          </c:val>
          <c:smooth val="0"/>
          <c:extLst>
            <c:ext xmlns:c16="http://schemas.microsoft.com/office/drawing/2014/chart" uri="{C3380CC4-5D6E-409C-BE32-E72D297353CC}">
              <c16:uniqueId val="{00000001-4EB9-419C-BF50-9C64FF4AE13F}"/>
            </c:ext>
          </c:extLst>
        </c:ser>
        <c:dLbls>
          <c:showLegendKey val="0"/>
          <c:showVal val="0"/>
          <c:showCatName val="0"/>
          <c:showSerName val="0"/>
          <c:showPercent val="0"/>
          <c:showBubbleSize val="0"/>
        </c:dLbls>
        <c:marker val="1"/>
        <c:smooth val="0"/>
        <c:axId val="741717856"/>
        <c:axId val="741712280"/>
      </c:lineChart>
      <c:catAx>
        <c:axId val="7401095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0109912"/>
        <c:crosses val="autoZero"/>
        <c:auto val="1"/>
        <c:lblAlgn val="ctr"/>
        <c:lblOffset val="100"/>
        <c:noMultiLvlLbl val="1"/>
      </c:catAx>
      <c:valAx>
        <c:axId val="740109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0109584"/>
        <c:crosses val="autoZero"/>
        <c:crossBetween val="between"/>
      </c:valAx>
      <c:valAx>
        <c:axId val="741712280"/>
        <c:scaling>
          <c:orientation val="minMax"/>
        </c:scaling>
        <c:delete val="0"/>
        <c:axPos val="r"/>
        <c:numFmt formatCode="&quot;NT$&quot;#,##0_);\(&quot;N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741717856"/>
        <c:crosses val="max"/>
        <c:crossBetween val="between"/>
      </c:valAx>
      <c:catAx>
        <c:axId val="741717856"/>
        <c:scaling>
          <c:orientation val="minMax"/>
        </c:scaling>
        <c:delete val="1"/>
        <c:axPos val="b"/>
        <c:numFmt formatCode="General" sourceLinked="1"/>
        <c:majorTickMark val="out"/>
        <c:minorTickMark val="none"/>
        <c:tickLblPos val="nextTo"/>
        <c:crossAx val="741712280"/>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Microsoft JhengHei UI" panose="020B0604030504040204" pitchFamily="34" charset="-120"/>
          <a:ea typeface="Microsoft JhengHei UI" panose="020B0604030504040204" pitchFamily="34" charset="-120"/>
        </a:defRPr>
      </a:pPr>
      <a:endParaRPr lang="zh-TW"/>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TW"/>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title>
    <c:autoTitleDeleted val="0"/>
    <c:plotArea>
      <c:layout/>
      <c:barChart>
        <c:barDir val="col"/>
        <c:grouping val="clustered"/>
        <c:varyColors val="0"/>
        <c:ser>
          <c:idx val="0"/>
          <c:order val="0"/>
          <c:tx>
            <c:strRef>
              <c:f>'9. 圖表'!$D$5</c:f>
              <c:strCache>
                <c:ptCount val="1"/>
                <c:pt idx="0">
                  <c:v>會議出席</c:v>
                </c:pt>
              </c:strCache>
            </c:strRef>
          </c:tx>
          <c:spPr>
            <a:solidFill>
              <a:schemeClr val="accent1"/>
            </a:solidFill>
            <a:ln>
              <a:noFill/>
            </a:ln>
            <a:effectLst/>
          </c:spPr>
          <c:invertIfNegative val="0"/>
          <c:cat>
            <c:numRef>
              <c:f>'9. 圖表'!$C$6:$C$11</c:f>
              <c:numCache>
                <c:formatCode>General</c:formatCode>
                <c:ptCount val="6"/>
                <c:pt idx="0">
                  <c:v>2021</c:v>
                </c:pt>
                <c:pt idx="1">
                  <c:v>2022</c:v>
                </c:pt>
                <c:pt idx="2">
                  <c:v>2023</c:v>
                </c:pt>
                <c:pt idx="3">
                  <c:v>2024</c:v>
                </c:pt>
                <c:pt idx="4">
                  <c:v>2025</c:v>
                </c:pt>
                <c:pt idx="5">
                  <c:v>2026</c:v>
                </c:pt>
              </c:numCache>
            </c:numRef>
          </c:cat>
          <c:val>
            <c:numRef>
              <c:f>'9. 圖表'!$D$6:$D$11</c:f>
              <c:numCache>
                <c:formatCode>General</c:formatCode>
                <c:ptCount val="6"/>
                <c:pt idx="0">
                  <c:v>500</c:v>
                </c:pt>
                <c:pt idx="1">
                  <c:v>800</c:v>
                </c:pt>
                <c:pt idx="2">
                  <c:v>1000</c:v>
                </c:pt>
                <c:pt idx="3">
                  <c:v>900</c:v>
                </c:pt>
                <c:pt idx="4">
                  <c:v>1000</c:v>
                </c:pt>
                <c:pt idx="5">
                  <c:v>1200</c:v>
                </c:pt>
              </c:numCache>
            </c:numRef>
          </c:val>
          <c:extLst>
            <c:ext xmlns:c16="http://schemas.microsoft.com/office/drawing/2014/chart" uri="{C3380CC4-5D6E-409C-BE32-E72D297353CC}">
              <c16:uniqueId val="{00000000-A796-49BD-A4C3-01AC1417BD28}"/>
            </c:ext>
          </c:extLst>
        </c:ser>
        <c:dLbls>
          <c:showLegendKey val="0"/>
          <c:showVal val="0"/>
          <c:showCatName val="0"/>
          <c:showSerName val="0"/>
          <c:showPercent val="0"/>
          <c:showBubbleSize val="0"/>
        </c:dLbls>
        <c:gapWidth val="219"/>
        <c:overlap val="-27"/>
        <c:axId val="910612304"/>
        <c:axId val="910610336"/>
      </c:barChart>
      <c:catAx>
        <c:axId val="91061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910610336"/>
        <c:crosses val="autoZero"/>
        <c:auto val="1"/>
        <c:lblAlgn val="ctr"/>
        <c:lblOffset val="100"/>
        <c:noMultiLvlLbl val="0"/>
      </c:catAx>
      <c:valAx>
        <c:axId val="91061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icrosoft JhengHei UI" panose="020B0604030504040204" pitchFamily="34" charset="-120"/>
                <a:ea typeface="Microsoft JhengHei UI" panose="020B0604030504040204" pitchFamily="34" charset="-120"/>
                <a:cs typeface="+mn-cs"/>
              </a:defRPr>
            </a:pPr>
            <a:endParaRPr lang="zh-TW"/>
          </a:p>
        </c:txPr>
        <c:crossAx val="910612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latin typeface="Microsoft JhengHei UI" panose="020B0604030504040204" pitchFamily="34" charset="-120"/>
          <a:ea typeface="Microsoft JhengHei UI" panose="020B0604030504040204" pitchFamily="34" charset="-120"/>
        </a:defRPr>
      </a:pPr>
      <a:endParaRPr lang="zh-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 &#26032;&#22686;'!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support.office.com/zh-TW/article/use-excel-as-your-calculator-a1abc057-ed11-443a-a635-68216555ad0a?ui=zh-TW&amp;rs=en-001&amp;ad=us" TargetMode="Externa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hyperlink" Target="#'2. &#22635;&#28415;'!A1"/><Relationship Id="rId7" Type="http://schemas.openxmlformats.org/officeDocument/2006/relationships/hyperlink" Target="https://support.office.com/zh-TW/article/sumif-function-169b8c99-c05c-4483-a712-1697a653039b?ui=zh-TW&amp;rs=en-001&amp;ad=us" TargetMode="External"/><Relationship Id="rId12" Type="http://schemas.openxmlformats.org/officeDocument/2006/relationships/hyperlink" Target="#'10. &#27166;&#32016;&#20998;&#26512;&#34920;'!A1"/><Relationship Id="rId17" Type="http://schemas.openxmlformats.org/officeDocument/2006/relationships/image" Target="../media/image11.png"/><Relationship Id="rId2" Type="http://schemas.openxmlformats.org/officeDocument/2006/relationships/hyperlink" Target="#'1. &#26032;&#22686;'!A1"/><Relationship Id="rId16" Type="http://schemas.openxmlformats.org/officeDocument/2006/relationships/image" Target="../media/image10.svg"/><Relationship Id="rId1" Type="http://schemas.openxmlformats.org/officeDocument/2006/relationships/image" Target="../media/image2.png"/><Relationship Id="rId6" Type="http://schemas.openxmlformats.org/officeDocument/2006/relationships/image" Target="../media/image4.svg"/><Relationship Id="rId11" Type="http://schemas.openxmlformats.org/officeDocument/2006/relationships/image" Target="../media/image6.svg"/><Relationship Id="rId5" Type="http://schemas.openxmlformats.org/officeDocument/2006/relationships/image" Target="../media/image3.png"/><Relationship Id="rId15" Type="http://schemas.openxmlformats.org/officeDocument/2006/relationships/image" Target="../media/image9.png"/><Relationship Id="rId10" Type="http://schemas.openxmlformats.org/officeDocument/2006/relationships/image" Target="../media/image5.png"/><Relationship Id="rId19" Type="http://schemas.openxmlformats.org/officeDocument/2006/relationships/hyperlink" Target="#'1. &#26032;&#22686;'!A62"/><Relationship Id="rId4" Type="http://schemas.openxmlformats.org/officeDocument/2006/relationships/hyperlink" Target="https://support.office.com/zh-TW/article/sum-function-043e1c7d-7726-4e80-8f32-07b23e057f89?ui=zh-TW&amp;rs=en-001&amp;ad=us" TargetMode="External"/><Relationship Id="rId9" Type="http://schemas.openxmlformats.org/officeDocument/2006/relationships/hyperlink" Target="https://support.office.com/zh-TW/article/excel-for-windows-training-9bc05390-e94c-46af-a5b3-d7c22f6990bb?ui=zh-TW&amp;rs=en-001&amp;ad=us" TargetMode="External"/><Relationship Id="rId14"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hyperlink" Target="#'2. &#22635;&#28415;'!A1"/><Relationship Id="rId13" Type="http://schemas.openxmlformats.org/officeDocument/2006/relationships/image" Target="../media/image14.png"/><Relationship Id="rId3" Type="http://schemas.openxmlformats.org/officeDocument/2006/relationships/image" Target="../media/image11.png"/><Relationship Id="rId7" Type="http://schemas.openxmlformats.org/officeDocument/2006/relationships/image" Target="../media/image13.png"/><Relationship Id="rId12" Type="http://schemas.openxmlformats.org/officeDocument/2006/relationships/hyperlink" Target="https://support.office.com/zh-TW/article/fill-a-formula-down-into-adjacent-cells-041edfe2-05bc-40e6-b933-ef48c3f308c6?ui=zh-TW&amp;rs=en-001&amp;ad=us" TargetMode="External"/><Relationship Id="rId2" Type="http://schemas.openxmlformats.org/officeDocument/2006/relationships/hyperlink" Target="#'3. &#20998;&#21106;'!A1"/><Relationship Id="rId16" Type="http://schemas.openxmlformats.org/officeDocument/2006/relationships/image" Target="../media/image16.svg"/><Relationship Id="rId1" Type="http://schemas.openxmlformats.org/officeDocument/2006/relationships/hyperlink" Target="#'2. &#22635;&#28415;'!A62"/><Relationship Id="rId6" Type="http://schemas.openxmlformats.org/officeDocument/2006/relationships/image" Target="../media/image6.svg"/><Relationship Id="rId11" Type="http://schemas.openxmlformats.org/officeDocument/2006/relationships/image" Target="../media/image4.sv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3.png"/><Relationship Id="rId4" Type="http://schemas.openxmlformats.org/officeDocument/2006/relationships/image" Target="../media/image12.svg"/><Relationship Id="rId9" Type="http://schemas.openxmlformats.org/officeDocument/2006/relationships/hyperlink" Target="https://support.office.com/zh-TW/article/fill-data-automatically-in-worksheet-cells-74e31bdd-d993-45da-aa82-35a236c5b5db?ui=zh-TW&amp;rs=en-001&amp;ad=us" TargetMode="External"/><Relationship Id="rId14" Type="http://schemas.microsoft.com/office/2007/relationships/hdphoto" Target="../media/hdphoto1.wdp"/></Relationships>
</file>

<file path=xl/drawings/_rels/drawing4.xml.rels><?xml version="1.0" encoding="UTF-8" standalone="yes"?>
<Relationships xmlns="http://schemas.openxmlformats.org/package/2006/relationships"><Relationship Id="rId8" Type="http://schemas.openxmlformats.org/officeDocument/2006/relationships/hyperlink" Target="https://support.office.com/zh-TW/article/get-transform-in-excel-881c63c6-37c5-4ca2-b616-59e18d75b4de?ui=zh-TW&amp;rs=en-001&amp;ad=us" TargetMode="External"/><Relationship Id="rId13" Type="http://schemas.openxmlformats.org/officeDocument/2006/relationships/image" Target="../media/image17.png"/><Relationship Id="rId3" Type="http://schemas.openxmlformats.org/officeDocument/2006/relationships/hyperlink" Target="#'3. &#20998;&#21106;'!A1"/><Relationship Id="rId7" Type="http://schemas.openxmlformats.org/officeDocument/2006/relationships/image" Target="../media/image4.svg"/><Relationship Id="rId12" Type="http://schemas.openxmlformats.org/officeDocument/2006/relationships/hyperlink" Target="https://support.office.com/zh-TW/article/len-lenb-functions-29236f94-cedc-429d-affd-b5e33d2c67cb?ui=zh-TW&amp;rs=en-001&amp;ad=us" TargetMode="External"/><Relationship Id="rId2" Type="http://schemas.openxmlformats.org/officeDocument/2006/relationships/image" Target="../media/image6.sv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3.png"/><Relationship Id="rId11" Type="http://schemas.openxmlformats.org/officeDocument/2006/relationships/hyperlink" Target="https://support.office.com/zh-TW/article/find-findb-functions-c7912941-af2a-4bdf-a553-d0d89b0a0628?ui=zh-TW&amp;rs=en-001&amp;ad=us" TargetMode="External"/><Relationship Id="rId5" Type="http://schemas.openxmlformats.org/officeDocument/2006/relationships/hyperlink" Target="https://support.office.com/zh-TW/article/split-text-into-different-columns-with-the-convert-text-to-columns-wizard-30b14928-5550-41f5-97ca-7a3e9c363ed7?ui=zh-TW&amp;rs=en-001&amp;ad=us" TargetMode="External"/><Relationship Id="rId15" Type="http://schemas.openxmlformats.org/officeDocument/2006/relationships/hyperlink" Target="#'3. &#20998;&#21106;'!A62"/><Relationship Id="rId10" Type="http://schemas.openxmlformats.org/officeDocument/2006/relationships/hyperlink" Target="https://support.office.com/zh-TW/article/right-rightb-functions-240267ee-9afa-4639-a02b-f19e1786cf2f?ui=zh-TW&amp;rs=en-001&amp;ad=us" TargetMode="External"/><Relationship Id="rId4" Type="http://schemas.openxmlformats.org/officeDocument/2006/relationships/hyperlink" Target="#'4. &#36681;&#32622;'!A1"/><Relationship Id="rId9" Type="http://schemas.openxmlformats.org/officeDocument/2006/relationships/hyperlink" Target="https://support.office.com/zh-TW/article/left-leftb-functions-9203d2d2-7960-479b-84c6-1ea52b99640c?ui=zh-TW&amp;rs=en-001&amp;ad=us" TargetMode="External"/><Relationship Id="rId14" Type="http://schemas.openxmlformats.org/officeDocument/2006/relationships/image" Target="../media/image18.svg"/></Relationships>
</file>

<file path=xl/drawings/_rels/drawing5.xml.rels><?xml version="1.0" encoding="UTF-8" standalone="yes"?>
<Relationships xmlns="http://schemas.openxmlformats.org/package/2006/relationships"><Relationship Id="rId8" Type="http://schemas.openxmlformats.org/officeDocument/2006/relationships/hyperlink" Target="https://support.office.com/zh-TW/article/transpose-rotate-data-from-rows-to-columns-or-vice-versa-3419f2e3-beab-4318-aae5-d0f862209744?ui=zh-TW&amp;rs=en-001&amp;ad=us" TargetMode="External"/><Relationship Id="rId13" Type="http://schemas.openxmlformats.org/officeDocument/2006/relationships/image" Target="../media/image24.png"/><Relationship Id="rId3" Type="http://schemas.openxmlformats.org/officeDocument/2006/relationships/image" Target="../media/image20.png"/><Relationship Id="rId7" Type="http://schemas.openxmlformats.org/officeDocument/2006/relationships/hyperlink" Target="#'4. &#36681;&#32622;'!A1"/><Relationship Id="rId12" Type="http://schemas.openxmlformats.org/officeDocument/2006/relationships/hyperlink" Target="https://support.office.com/zh-TW/article/create-an-array-formula-e43e12e0-afc6-4a12-bc7f-48361075954d?ui=zh-TW&amp;rs=en-001&amp;ad=us" TargetMode="External"/><Relationship Id="rId2" Type="http://schemas.openxmlformats.org/officeDocument/2006/relationships/hyperlink" Target="#'5. &#25490;&#24207;&#33287;&#31721;&#36984;'!A1"/><Relationship Id="rId1" Type="http://schemas.openxmlformats.org/officeDocument/2006/relationships/hyperlink" Target="#'4. &#36681;&#32622;'!A62"/><Relationship Id="rId6" Type="http://schemas.openxmlformats.org/officeDocument/2006/relationships/image" Target="../media/image23.svg"/><Relationship Id="rId11" Type="http://schemas.openxmlformats.org/officeDocument/2006/relationships/hyperlink" Target="https://support.office.com/zh-TW/article/transpose-function-ed039415-ed8a-4a81-93e9-4b6dfac76027?ui=zh-TW&amp;rs=en-001&amp;ad=us" TargetMode="External"/><Relationship Id="rId5" Type="http://schemas.openxmlformats.org/officeDocument/2006/relationships/image" Target="../media/image22.png"/><Relationship Id="rId15" Type="http://schemas.openxmlformats.org/officeDocument/2006/relationships/image" Target="../media/image26.svg"/><Relationship Id="rId10" Type="http://schemas.openxmlformats.org/officeDocument/2006/relationships/image" Target="../media/image4.svg"/><Relationship Id="rId4" Type="http://schemas.openxmlformats.org/officeDocument/2006/relationships/image" Target="../media/image21.svg"/><Relationship Id="rId9" Type="http://schemas.openxmlformats.org/officeDocument/2006/relationships/image" Target="../media/image3.png"/><Relationship Id="rId14" Type="http://schemas.openxmlformats.org/officeDocument/2006/relationships/image" Target="../media/image25.png"/></Relationships>
</file>

<file path=xl/drawings/_rels/drawing6.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hyperlink" Target="https://support.office.com/zh-TW/article/filter-data-in-a-range-or-table-01832226-31b5-4568-8806-38c37dcc180e?ui=zh-TW&amp;rs=en-001&amp;ad=us" TargetMode="External"/><Relationship Id="rId3" Type="http://schemas.openxmlformats.org/officeDocument/2006/relationships/hyperlink" Target="#'5. &#25490;&#24207;&#33287;&#31721;&#36984;'!A62"/><Relationship Id="rId7" Type="http://schemas.openxmlformats.org/officeDocument/2006/relationships/image" Target="../media/image7.png"/><Relationship Id="rId12" Type="http://schemas.openxmlformats.org/officeDocument/2006/relationships/image" Target="../media/image4.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28.png"/><Relationship Id="rId11" Type="http://schemas.openxmlformats.org/officeDocument/2006/relationships/image" Target="../media/image3.png"/><Relationship Id="rId5" Type="http://schemas.openxmlformats.org/officeDocument/2006/relationships/image" Target="../media/image27.png"/><Relationship Id="rId10" Type="http://schemas.openxmlformats.org/officeDocument/2006/relationships/hyperlink" Target="https://support.office.com/zh-TW/article/sort-data-in-a-range-or-table-62d0b95d-2a90-4610-a6ae-2e545c4a4654?ui=zh-TW&amp;rs=en-001&amp;ad=us" TargetMode="External"/><Relationship Id="rId4" Type="http://schemas.openxmlformats.org/officeDocument/2006/relationships/hyperlink" Target="#'6. &#34920;&#26684;'!A1"/><Relationship Id="rId9" Type="http://schemas.openxmlformats.org/officeDocument/2006/relationships/hyperlink" Target="#'5. &#25490;&#24207;&#33287;&#31721;&#36984;'!A1"/></Relationships>
</file>

<file path=xl/drawings/_rels/drawing7.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3.png"/><Relationship Id="rId3" Type="http://schemas.openxmlformats.org/officeDocument/2006/relationships/image" Target="../media/image29.png"/><Relationship Id="rId7" Type="http://schemas.openxmlformats.org/officeDocument/2006/relationships/image" Target="../media/image12.svg"/><Relationship Id="rId12" Type="http://schemas.openxmlformats.org/officeDocument/2006/relationships/hyperlink" Target="https://support.office.com/zh-TW/article/overview-of-excel-tables-7ab0bb7d-3a9e-4b56-a3c9-6c94334e492c?ui=zh-TW&amp;rs=en-001&amp;ad=us" TargetMode="External"/><Relationship Id="rId2" Type="http://schemas.openxmlformats.org/officeDocument/2006/relationships/hyperlink" Target="#'7. &#19979;&#25289;&#24335;&#28165;&#21934;'!A1"/><Relationship Id="rId16" Type="http://schemas.openxmlformats.org/officeDocument/2006/relationships/hyperlink" Target="https://support.office.com/zh-TW/article/use-calculated-columns-in-an-excel-table-873fbac6-7110-4300-8f6f-aafa2ea11ce8?ui=zh-TW&amp;rs=en-001&amp;ad=us" TargetMode="External"/><Relationship Id="rId1" Type="http://schemas.openxmlformats.org/officeDocument/2006/relationships/hyperlink" Target="#'6. &#34920;&#26684;'!A62"/><Relationship Id="rId6" Type="http://schemas.openxmlformats.org/officeDocument/2006/relationships/image" Target="../media/image11.png"/><Relationship Id="rId11" Type="http://schemas.openxmlformats.org/officeDocument/2006/relationships/hyperlink" Target="#'6. &#34920;&#26684;'!A1"/><Relationship Id="rId5" Type="http://schemas.openxmlformats.org/officeDocument/2006/relationships/image" Target="../media/image6.svg"/><Relationship Id="rId15" Type="http://schemas.openxmlformats.org/officeDocument/2006/relationships/hyperlink" Target="https://support.office.com/zh-TW/article/total-the-data-in-an-excel-table-6944378f-a222-4449-93d8-474386b11f20?ui=zh-TW&amp;rs=en-001&amp;ad=us" TargetMode="External"/><Relationship Id="rId10" Type="http://schemas.openxmlformats.org/officeDocument/2006/relationships/image" Target="../media/image30.png"/><Relationship Id="rId4" Type="http://schemas.openxmlformats.org/officeDocument/2006/relationships/image" Target="../media/image5.png"/><Relationship Id="rId9" Type="http://schemas.openxmlformats.org/officeDocument/2006/relationships/image" Target="../media/image16.svg"/><Relationship Id="rId14" Type="http://schemas.openxmlformats.org/officeDocument/2006/relationships/image" Target="../media/image4.svg"/></Relationships>
</file>

<file path=xl/drawings/_rels/drawing8.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hyperlink" Target="https://support.office.com/zh-TW/article/create-a-drop-down-list-7693307a-59ef-400a-b769-c5402dce407b?ui=zh-TW&amp;rs=en-001&amp;ad=us" TargetMode="External"/><Relationship Id="rId3" Type="http://schemas.openxmlformats.org/officeDocument/2006/relationships/image" Target="../media/image31.png"/><Relationship Id="rId7" Type="http://schemas.openxmlformats.org/officeDocument/2006/relationships/image" Target="../media/image5.png"/><Relationship Id="rId12" Type="http://schemas.openxmlformats.org/officeDocument/2006/relationships/image" Target="../media/image4.svg"/><Relationship Id="rId2" Type="http://schemas.openxmlformats.org/officeDocument/2006/relationships/hyperlink" Target="#'8. &#20998;&#26512;'!A1"/><Relationship Id="rId1" Type="http://schemas.openxmlformats.org/officeDocument/2006/relationships/hyperlink" Target="#'7. &#19979;&#25289;&#24335;&#28165;&#21934;'!A62"/><Relationship Id="rId6" Type="http://schemas.openxmlformats.org/officeDocument/2006/relationships/image" Target="../media/image26.svg"/><Relationship Id="rId11" Type="http://schemas.openxmlformats.org/officeDocument/2006/relationships/image" Target="../media/image3.png"/><Relationship Id="rId5" Type="http://schemas.openxmlformats.org/officeDocument/2006/relationships/image" Target="../media/image25.png"/><Relationship Id="rId10" Type="http://schemas.openxmlformats.org/officeDocument/2006/relationships/hyperlink" Target="https://support.office.com/zh-TW/article/apply-data-validation-to-cells-29fecbcc-d1b9-42c1-9d76-eff3ce5f7249?ui=zh-TW&amp;rs=en-001&amp;ad=us" TargetMode="External"/><Relationship Id="rId4" Type="http://schemas.openxmlformats.org/officeDocument/2006/relationships/image" Target="../media/image32.png"/><Relationship Id="rId9" Type="http://schemas.openxmlformats.org/officeDocument/2006/relationships/hyperlink" Target="#'7. &#19979;&#25289;&#24335;&#28165;&#21934;'!A1"/></Relationships>
</file>

<file path=xl/drawings/_rels/drawing9.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hyperlink" Target="https://support.office.com/zh-TW/article/analyze-your-data-instantly-9e382e73-7f5e-495a-a8dc-be8225b1bb78?ui=zh-TW&amp;rs=en-001&amp;ad=us" TargetMode="External"/><Relationship Id="rId7" Type="http://schemas.openxmlformats.org/officeDocument/2006/relationships/hyperlink" Target="#'8. &#20998;&#26512;'!A62"/><Relationship Id="rId2" Type="http://schemas.openxmlformats.org/officeDocument/2006/relationships/hyperlink" Target="#'9. &#22294;&#34920;'!A1"/><Relationship Id="rId1" Type="http://schemas.openxmlformats.org/officeDocument/2006/relationships/hyperlink" Target="#'8. &#20998;&#26512;'!A1"/><Relationship Id="rId6" Type="http://schemas.openxmlformats.org/officeDocument/2006/relationships/hyperlink" Target="https://support.office.com/zh-TW/article/analyze-trends-in-data-using-sparklines-be6579cf-a8e3-471a-a459-873614413ce1?ui=zh-TW&amp;rs=en-001&amp;ad=us" TargetMode="External"/><Relationship Id="rId5" Type="http://schemas.openxmlformats.org/officeDocument/2006/relationships/image" Target="../media/image4.svg"/><Relationship Id="rId10" Type="http://schemas.openxmlformats.org/officeDocument/2006/relationships/image" Target="../media/image6.svg"/><Relationship Id="rId4" Type="http://schemas.openxmlformats.org/officeDocument/2006/relationships/image" Target="../media/image3.png"/><Relationship Id="rId9" Type="http://schemas.openxmlformats.org/officeDocument/2006/relationships/image" Target="../media/image5.png"/></Relationships>
</file>

<file path=xl/drawings/_rels/drawing10.xml.rels><?xml version="1.0" encoding="UTF-8" standalone="yes"?>
<Relationships xmlns="http://schemas.openxmlformats.org/package/2006/relationships"><Relationship Id="rId8" Type="http://schemas.openxmlformats.org/officeDocument/2006/relationships/hyperlink" Target="https://support.office.com/zh-TW/article/create-a-chart-from-start-to-finish-0baf399e-dd61-4e18-8a73-b3fd5d5680c2?ui=zh-TW&amp;rs=en-001&amp;ad=us" TargetMode="External"/><Relationship Id="rId3" Type="http://schemas.openxmlformats.org/officeDocument/2006/relationships/hyperlink" Target="#'9. &#22294;&#34920;'!A62"/><Relationship Id="rId7" Type="http://schemas.openxmlformats.org/officeDocument/2006/relationships/hyperlink" Target="#'9. &#22294;&#34920;'!A1"/><Relationship Id="rId12" Type="http://schemas.openxmlformats.org/officeDocument/2006/relationships/hyperlink" Target="https://support.office.com/zh-TW/article/available-chart-types-in-office-a6187218-807e-4103-9e0a-27cdb19afb90?ui=zh-TW&amp;rs=en-001&amp;ad=us" TargetMode="External"/><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chart" Target="../charts/chart2.xml"/><Relationship Id="rId11" Type="http://schemas.openxmlformats.org/officeDocument/2006/relationships/hyperlink" Target="https://support.office.com/zh-TW/article/add-or-remove-a-secondary-axis-in-a-chart-in-excel-91da1e2f-5db1-41e9-8908-e1a2e14dd5a9?redirectsourcepath=%252farticle%252f1d119e2d-1a5f-45a4-8ad3-bacc7430c0a1&amp;ui=zh-TW&amp;rs=en-001&amp;ad=us" TargetMode="External"/><Relationship Id="rId5" Type="http://schemas.openxmlformats.org/officeDocument/2006/relationships/chart" Target="../charts/chart1.xml"/><Relationship Id="rId10" Type="http://schemas.openxmlformats.org/officeDocument/2006/relationships/image" Target="../media/image4.svg"/><Relationship Id="rId4" Type="http://schemas.openxmlformats.org/officeDocument/2006/relationships/hyperlink" Target="#'10. &#27166;&#32016;&#20998;&#26512;&#34920;'!A1"/><Relationship Id="rId9" Type="http://schemas.openxmlformats.org/officeDocument/2006/relationships/image" Target="../media/image3.png"/></Relationships>
</file>

<file path=xl/drawings/_rels/drawing11.xml.rels><?xml version="1.0" encoding="UTF-8" standalone="yes"?>
<Relationships xmlns="http://schemas.openxmlformats.org/package/2006/relationships"><Relationship Id="rId8" Type="http://schemas.openxmlformats.org/officeDocument/2006/relationships/hyperlink" Target="https://support.office.com/zh-TW/article/use-the-field-list-to-arrange-fields-in-a-pivottable-43980e05-a585-4fcd-bd91-80160adfebec?ui=zh-TW&amp;rs=en-001&amp;ad=us" TargetMode="External"/><Relationship Id="rId3" Type="http://schemas.openxmlformats.org/officeDocument/2006/relationships/image" Target="../media/image34.png"/><Relationship Id="rId7" Type="http://schemas.openxmlformats.org/officeDocument/2006/relationships/image" Target="../media/image4.svg"/><Relationship Id="rId2" Type="http://schemas.openxmlformats.org/officeDocument/2006/relationships/hyperlink" Target="#'&#28145;&#20837;&#20102;&#35299;'!A1"/><Relationship Id="rId1" Type="http://schemas.openxmlformats.org/officeDocument/2006/relationships/hyperlink" Target="#'10. &#27166;&#32016;&#20998;&#26512;&#34920;'!A62"/><Relationship Id="rId6" Type="http://schemas.openxmlformats.org/officeDocument/2006/relationships/image" Target="../media/image3.png"/><Relationship Id="rId5" Type="http://schemas.openxmlformats.org/officeDocument/2006/relationships/hyperlink" Target="https://support.office.com/zh-TW/article/create-a-pivottable-to-analyze-worksheet-data-a9a84538-bfe9-40a9-a8e9-f99134456576?ui=zh-TW&amp;rs=en-001&amp;ad=us" TargetMode="External"/><Relationship Id="rId4" Type="http://schemas.openxmlformats.org/officeDocument/2006/relationships/hyperlink" Target="#'10. &#27166;&#32016;&#20998;&#26512;&#34920;'!A1"/></Relationships>
</file>

<file path=xl/drawings/_rels/drawing12.xml.rels><?xml version="1.0" encoding="UTF-8" standalone="yes"?>
<Relationships xmlns="http://schemas.openxmlformats.org/package/2006/relationships"><Relationship Id="rId3" Type="http://schemas.openxmlformats.org/officeDocument/2006/relationships/hyperlink" Target="https://support.office.com/zh-TW/article/what-s-new-in-excel-for-office-365-5fdb9208-ff33-45b6-9e08-1f5cdb3a6c73?ui=zh-TW&amp;rs=en-001&amp;ad=us" TargetMode="External"/><Relationship Id="rId2" Type="http://schemas.openxmlformats.org/officeDocument/2006/relationships/hyperlink" Target="https://techcommunity.microsoft.com/t5/excel/ct-p/excel_cat" TargetMode="External"/><Relationship Id="rId1" Type="http://schemas.openxmlformats.org/officeDocument/2006/relationships/image" Target="../media/image35.png"/><Relationship Id="rId6" Type="http://schemas.openxmlformats.org/officeDocument/2006/relationships/image" Target="../media/image38.svg"/><Relationship Id="rId5" Type="http://schemas.openxmlformats.org/officeDocument/2006/relationships/image" Target="../media/image37.png"/><Relationship Id="rId4" Type="http://schemas.openxmlformats.org/officeDocument/2006/relationships/image" Target="../media/image36.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2390776</xdr:rowOff>
    </xdr:from>
    <xdr:to>
      <xdr:col>0</xdr:col>
      <xdr:colOff>2041238</xdr:colOff>
      <xdr:row>4</xdr:row>
      <xdr:rowOff>34925</xdr:rowOff>
    </xdr:to>
    <xdr:pic>
      <xdr:nvPicPr>
        <xdr:cNvPr id="2" name="圖片 1" descr="Excel 標誌">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1925" y="4308476"/>
          <a:ext cx="1879313" cy="996949"/>
        </a:xfrm>
        <a:prstGeom prst="rect">
          <a:avLst/>
        </a:prstGeom>
      </xdr:spPr>
    </xdr:pic>
    <xdr:clientData/>
  </xdr:twoCellAnchor>
  <xdr:absoluteAnchor>
    <xdr:pos x="6962775" y="4641850"/>
    <xdr:ext cx="1170432" cy="514350"/>
    <xdr:sp macro="" textlink="">
      <xdr:nvSpPr>
        <xdr:cNvPr id="3" name="[下一步] 按鈕" descr="附有超連結的按鈕圖案，用來瀏覽到下一個步驟">
          <a:hlinkClick xmlns:r="http://schemas.openxmlformats.org/officeDocument/2006/relationships" r:id="rId2" tooltip="選取以開始導覽"/>
          <a:extLst>
            <a:ext uri="{FF2B5EF4-FFF2-40B4-BE49-F238E27FC236}">
              <a16:creationId xmlns:a16="http://schemas.microsoft.com/office/drawing/2014/main" id="{00000000-0008-0000-0000-000003000000}"/>
            </a:ext>
          </a:extLst>
        </xdr:cNvPr>
        <xdr:cNvSpPr/>
      </xdr:nvSpPr>
      <xdr:spPr>
        <a:xfrm>
          <a:off x="6962775" y="46418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rtl="0"/>
          <a:r>
            <a:rPr lang="zh-tw" sz="1750" b="0" cap="none" spc="0" baseline="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rPr>
            <a:t>開始 &gt;</a:t>
          </a:r>
          <a:endParaRPr lang="en-US" sz="1750" b="0" cap="none" spc="0">
            <a:ln>
              <a:noFill/>
            </a:ln>
            <a:solidFill>
              <a:srgbClr val="217346"/>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xdr:from>
      <xdr:col>5</xdr:col>
      <xdr:colOff>53370</xdr:colOff>
      <xdr:row>40</xdr:row>
      <xdr:rowOff>89000</xdr:rowOff>
    </xdr:from>
    <xdr:to>
      <xdr:col>6</xdr:col>
      <xdr:colOff>267972</xdr:colOff>
      <xdr:row>41</xdr:row>
      <xdr:rowOff>86653</xdr:rowOff>
    </xdr:to>
    <xdr:pic>
      <xdr:nvPicPr>
        <xdr:cNvPr id="2" name="狀態列圖形" descr="狀態列圖形 Sum: 17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rcRect/>
        <a:stretch/>
      </xdr:blipFill>
      <xdr:spPr>
        <a:xfrm>
          <a:off x="8883045" y="8280500"/>
          <a:ext cx="976602" cy="188153"/>
        </a:xfrm>
        <a:prstGeom prst="rect">
          <a:avLst/>
        </a:prstGeom>
      </xdr:spPr>
    </xdr:pic>
    <xdr:clientData/>
  </xdr:twoCellAnchor>
  <xdr:twoCellAnchor editAs="oneCell">
    <xdr:from>
      <xdr:col>0</xdr:col>
      <xdr:colOff>323850</xdr:colOff>
      <xdr:row>84</xdr:row>
      <xdr:rowOff>171450</xdr:rowOff>
    </xdr:from>
    <xdr:to>
      <xdr:col>1</xdr:col>
      <xdr:colOff>5006975</xdr:colOff>
      <xdr:row>105</xdr:row>
      <xdr:rowOff>34925</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100-000005000000}"/>
            </a:ext>
          </a:extLst>
        </xdr:cNvPr>
        <xdr:cNvGrpSpPr/>
      </xdr:nvGrpSpPr>
      <xdr:grpSpPr>
        <a:xfrm>
          <a:off x="323850" y="16744950"/>
          <a:ext cx="5778500" cy="3863975"/>
          <a:chOff x="323850" y="16837043"/>
          <a:chExt cx="5737224" cy="3702054"/>
        </a:xfrm>
      </xdr:grpSpPr>
      <xdr:sp macro="" textlink="">
        <xdr:nvSpPr>
          <xdr:cNvPr id="140" name="矩形 139">
            <a:extLst>
              <a:ext uri="{FF2B5EF4-FFF2-40B4-BE49-F238E27FC236}">
                <a16:creationId xmlns:a16="http://schemas.microsoft.com/office/drawing/2014/main" id="{00000000-0008-0000-0100-00008C000000}"/>
              </a:ext>
            </a:extLst>
          </xdr:cNvPr>
          <xdr:cNvSpPr/>
        </xdr:nvSpPr>
        <xdr:spPr>
          <a:xfrm>
            <a:off x="323850" y="16837043"/>
            <a:ext cx="5737224" cy="37020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1" name="步驟" descr="更多網路上的資訊&#10;">
            <a:extLst>
              <a:ext uri="{FF2B5EF4-FFF2-40B4-BE49-F238E27FC236}">
                <a16:creationId xmlns:a16="http://schemas.microsoft.com/office/drawing/2014/main" id="{00000000-0008-0000-0100-00008D000000}"/>
              </a:ext>
            </a:extLst>
          </xdr:cNvPr>
          <xdr:cNvSpPr txBox="1"/>
        </xdr:nvSpPr>
        <xdr:spPr>
          <a:xfrm>
            <a:off x="555599"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2" name="直線接點 141" descr="裝飾線條">
            <a:extLst>
              <a:ext uri="{FF2B5EF4-FFF2-40B4-BE49-F238E27FC236}">
                <a16:creationId xmlns:a16="http://schemas.microsoft.com/office/drawing/2014/main" id="{00000000-0008-0000-0100-00008E000000}"/>
              </a:ext>
            </a:extLst>
          </xdr:cNvPr>
          <xdr:cNvCxnSpPr>
            <a:cxnSpLocks/>
          </xdr:cNvCxnSpPr>
        </xdr:nvCxnSpPr>
        <xdr:spPr>
          <a:xfrm>
            <a:off x="558774"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3" name="[下一步] 按鈕" descr="回到頁首，附有移至儲存格 A1 的超連結">
            <a:hlinkClick xmlns:r="http://schemas.openxmlformats.org/officeDocument/2006/relationships" r:id="rId2" tooltip="選取以回到此工作表中的儲存格 A1"/>
            <a:extLst>
              <a:ext uri="{FF2B5EF4-FFF2-40B4-BE49-F238E27FC236}">
                <a16:creationId xmlns:a16="http://schemas.microsoft.com/office/drawing/2014/main" id="{00000000-0008-0000-0100-00008F000000}"/>
              </a:ext>
            </a:extLst>
          </xdr:cNvPr>
          <xdr:cNvSpPr/>
        </xdr:nvSpPr>
        <xdr:spPr>
          <a:xfrm>
            <a:off x="558774" y="19758802"/>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4" name="直線接點 143" descr="裝飾線條">
            <a:extLst>
              <a:ext uri="{FF2B5EF4-FFF2-40B4-BE49-F238E27FC236}">
                <a16:creationId xmlns:a16="http://schemas.microsoft.com/office/drawing/2014/main" id="{00000000-0008-0000-0100-000090000000}"/>
              </a:ext>
            </a:extLst>
          </xdr:cNvPr>
          <xdr:cNvCxnSpPr>
            <a:cxnSpLocks/>
          </xdr:cNvCxnSpPr>
        </xdr:nvCxnSpPr>
        <xdr:spPr>
          <a:xfrm>
            <a:off x="558774" y="19510394"/>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下一步] 按鈕" descr="[下一個步驟] 按鈕，附有移至下一個工作表的超連結">
            <a:hlinkClick xmlns:r="http://schemas.openxmlformats.org/officeDocument/2006/relationships" r:id="rId3" tooltip="選取以移至下一步"/>
            <a:extLst>
              <a:ext uri="{FF2B5EF4-FFF2-40B4-BE49-F238E27FC236}">
                <a16:creationId xmlns:a16="http://schemas.microsoft.com/office/drawing/2014/main" id="{00000000-0008-0000-0100-000091000000}"/>
              </a:ext>
            </a:extLst>
          </xdr:cNvPr>
          <xdr:cNvSpPr/>
        </xdr:nvSpPr>
        <xdr:spPr>
          <a:xfrm>
            <a:off x="4658995" y="19942951"/>
            <a:ext cx="1154430"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6" name="步驟" descr="深入了解 SUM 函數，附有移至網路的超連結&#10;&#10;">
            <a:hlinkClick xmlns:r="http://schemas.openxmlformats.org/officeDocument/2006/relationships" r:id="rId4" tooltip="選取以從網路深入了解 SUM 函數"/>
            <a:extLst>
              <a:ext uri="{FF2B5EF4-FFF2-40B4-BE49-F238E27FC236}">
                <a16:creationId xmlns:a16="http://schemas.microsoft.com/office/drawing/2014/main" id="{00000000-0008-0000-0100-000092000000}"/>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SUM 函數</a:t>
            </a:r>
          </a:p>
        </xdr:txBody>
      </xdr:sp>
      <xdr:pic>
        <xdr:nvPicPr>
          <xdr:cNvPr id="147" name="圖形 22" descr="箭號">
            <a:hlinkClick xmlns:r="http://schemas.openxmlformats.org/officeDocument/2006/relationships" r:id="rId4" tooltip="選取以從網路深入了解"/>
            <a:extLst>
              <a:ext uri="{FF2B5EF4-FFF2-40B4-BE49-F238E27FC236}">
                <a16:creationId xmlns:a16="http://schemas.microsoft.com/office/drawing/2014/main" id="{00000000-0008-0000-0100-000093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517562"/>
            <a:ext cx="495829" cy="429422"/>
          </a:xfrm>
          <a:prstGeom prst="rect">
            <a:avLst/>
          </a:prstGeom>
        </xdr:spPr>
      </xdr:pic>
      <xdr:sp macro="" textlink="">
        <xdr:nvSpPr>
          <xdr:cNvPr id="148" name="步驟" descr="全面了解 SUMIF 函數，附有移至 Web 的超連結&#10;">
            <a:hlinkClick xmlns:r="http://schemas.openxmlformats.org/officeDocument/2006/relationships" r:id="rId7" tooltip="選取以從 Web 全面了解 SUMIF 函數"/>
            <a:extLst>
              <a:ext uri="{FF2B5EF4-FFF2-40B4-BE49-F238E27FC236}">
                <a16:creationId xmlns:a16="http://schemas.microsoft.com/office/drawing/2014/main" id="{00000000-0008-0000-0100-000094000000}"/>
              </a:ext>
            </a:extLst>
          </xdr:cNvPr>
          <xdr:cNvSpPr txBox="1"/>
        </xdr:nvSpPr>
        <xdr:spPr>
          <a:xfrm>
            <a:off x="1003908" y="18058397"/>
            <a:ext cx="20186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SUMIF 函數</a:t>
            </a:r>
          </a:p>
        </xdr:txBody>
      </xdr:sp>
      <xdr:pic>
        <xdr:nvPicPr>
          <xdr:cNvPr id="149" name="圖形 22" descr="箭號">
            <a:hlinkClick xmlns:r="http://schemas.openxmlformats.org/officeDocument/2006/relationships" r:id="rId7" tooltip="選取以從網路深入了解"/>
            <a:extLst>
              <a:ext uri="{FF2B5EF4-FFF2-40B4-BE49-F238E27FC236}">
                <a16:creationId xmlns:a16="http://schemas.microsoft.com/office/drawing/2014/main" id="{00000000-0008-0000-0100-000095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7956370"/>
            <a:ext cx="495829" cy="435772"/>
          </a:xfrm>
          <a:prstGeom prst="rect">
            <a:avLst/>
          </a:prstGeom>
        </xdr:spPr>
      </xdr:pic>
      <xdr:sp macro="" textlink="">
        <xdr:nvSpPr>
          <xdr:cNvPr id="150" name="步驟" descr="使用 Excel 作為計算機，附有移至網路的超連結&#10;">
            <a:hlinkClick xmlns:r="http://schemas.openxmlformats.org/officeDocument/2006/relationships" r:id="rId8" tooltip="選取以從 Web 了解如何用 Excel 當計算機"/>
            <a:extLst>
              <a:ext uri="{FF2B5EF4-FFF2-40B4-BE49-F238E27FC236}">
                <a16:creationId xmlns:a16="http://schemas.microsoft.com/office/drawing/2014/main" id="{00000000-0008-0000-0100-000096000000}"/>
              </a:ext>
            </a:extLst>
          </xdr:cNvPr>
          <xdr:cNvSpPr txBox="1"/>
        </xdr:nvSpPr>
        <xdr:spPr>
          <a:xfrm>
            <a:off x="1003908" y="18506516"/>
            <a:ext cx="2018692"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用 Excel 當計算機</a:t>
            </a:r>
          </a:p>
        </xdr:txBody>
      </xdr:sp>
      <xdr:pic>
        <xdr:nvPicPr>
          <xdr:cNvPr id="151"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100-000097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35353" y="18410828"/>
            <a:ext cx="495829" cy="429422"/>
          </a:xfrm>
          <a:prstGeom prst="rect">
            <a:avLst/>
          </a:prstGeom>
        </xdr:spPr>
      </xdr:pic>
      <xdr:sp macro="" textlink="">
        <xdr:nvSpPr>
          <xdr:cNvPr id="153" name="步驟" descr="免費的 Excel 線上訓練，附有移至網路的超連結&#10;">
            <a:hlinkClick xmlns:r="http://schemas.openxmlformats.org/officeDocument/2006/relationships" r:id="rId9" tooltip="選取以從網路了解免費的 Excel 線上訓練"/>
            <a:extLst>
              <a:ext uri="{FF2B5EF4-FFF2-40B4-BE49-F238E27FC236}">
                <a16:creationId xmlns:a16="http://schemas.microsoft.com/office/drawing/2014/main" id="{00000000-0008-0000-0100-00009900000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免費的 Excel 線上訓練</a:t>
            </a:r>
          </a:p>
        </xdr:txBody>
      </xdr:sp>
      <xdr:pic>
        <xdr:nvPicPr>
          <xdr:cNvPr id="154"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100-00009A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48053" y="18857397"/>
            <a:ext cx="495829" cy="435772"/>
          </a:xfrm>
          <a:prstGeom prst="rect">
            <a:avLst/>
          </a:prstGeom>
        </xdr:spPr>
      </xdr:pic>
    </xdr:grpSp>
    <xdr:clientData/>
  </xdr:twoCellAnchor>
  <xdr:twoCellAnchor editAs="oneCell">
    <xdr:from>
      <xdr:col>2</xdr:col>
      <xdr:colOff>104775</xdr:colOff>
      <xdr:row>77</xdr:row>
      <xdr:rowOff>143190</xdr:rowOff>
    </xdr:from>
    <xdr:to>
      <xdr:col>6</xdr:col>
      <xdr:colOff>615950</xdr:colOff>
      <xdr:row>87</xdr:row>
      <xdr:rowOff>130174</xdr:rowOff>
    </xdr:to>
    <xdr:grpSp>
      <xdr:nvGrpSpPr>
        <xdr:cNvPr id="9" name="不可不知"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09000000}"/>
            </a:ext>
          </a:extLst>
        </xdr:cNvPr>
        <xdr:cNvGrpSpPr/>
      </xdr:nvGrpSpPr>
      <xdr:grpSpPr>
        <a:xfrm>
          <a:off x="6648450" y="15383190"/>
          <a:ext cx="3559175" cy="1891984"/>
          <a:chOff x="6778625" y="15473776"/>
          <a:chExt cx="3432175" cy="1817274"/>
        </a:xfrm>
      </xdr:grpSpPr>
      <xdr:sp macro="" textlink="">
        <xdr:nvSpPr>
          <xdr:cNvPr id="134" name="步驟"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00000000-0008-0000-0100-000086000000}"/>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按兩下此儲存格後，您會發現公式有所不同。具體來說，加總準則為 "&gt;=50"，這表示大於或等於 50。您可以使用其他運算子，例如表示</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小於或等於 50 </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的 "&lt;=50"。"&lt;&gt;50" 表示</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不等於 50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36" name="圖形 147" descr="眼鏡">
            <a:extLst>
              <a:ext uri="{FF2B5EF4-FFF2-40B4-BE49-F238E27FC236}">
                <a16:creationId xmlns:a16="http://schemas.microsoft.com/office/drawing/2014/main" id="{00000000-0008-0000-0100-000088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778625" y="15665450"/>
            <a:ext cx="323347" cy="349115"/>
          </a:xfrm>
          <a:prstGeom prst="rect">
            <a:avLst/>
          </a:prstGeom>
        </xdr:spPr>
      </xdr:pic>
      <xdr:sp macro="" textlink="">
        <xdr:nvSpPr>
          <xdr:cNvPr id="137" name="手繪多邊形：圖案 136" descr="箭號">
            <a:extLst>
              <a:ext uri="{FF2B5EF4-FFF2-40B4-BE49-F238E27FC236}">
                <a16:creationId xmlns:a16="http://schemas.microsoft.com/office/drawing/2014/main" id="{00000000-0008-0000-0100-000089000000}"/>
              </a:ext>
            </a:extLst>
          </xdr:cNvPr>
          <xdr:cNvSpPr/>
        </xdr:nvSpPr>
        <xdr:spPr>
          <a:xfrm rot="5777489" flipV="1">
            <a:off x="8598369" y="14522545"/>
            <a:ext cx="372519" cy="227498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0</xdr:col>
      <xdr:colOff>347872</xdr:colOff>
      <xdr:row>64</xdr:row>
      <xdr:rowOff>181413</xdr:rowOff>
    </xdr:from>
    <xdr:to>
      <xdr:col>1</xdr:col>
      <xdr:colOff>5030997</xdr:colOff>
      <xdr:row>84</xdr:row>
      <xdr:rowOff>44450</xdr:rowOff>
    </xdr:to>
    <xdr:grpSp>
      <xdr:nvGrpSpPr>
        <xdr:cNvPr id="10" name="深入了解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A000000}"/>
            </a:ext>
          </a:extLst>
        </xdr:cNvPr>
        <xdr:cNvGrpSpPr/>
      </xdr:nvGrpSpPr>
      <xdr:grpSpPr>
        <a:xfrm>
          <a:off x="347872" y="12944913"/>
          <a:ext cx="5778500" cy="3673037"/>
          <a:chOff x="347872" y="13364013"/>
          <a:chExt cx="5695950" cy="3673037"/>
        </a:xfrm>
      </xdr:grpSpPr>
      <xdr:sp macro="" textlink="">
        <xdr:nvSpPr>
          <xdr:cNvPr id="106" name="矩形 105" descr="背景​​">
            <a:extLst>
              <a:ext uri="{FF2B5EF4-FFF2-40B4-BE49-F238E27FC236}">
                <a16:creationId xmlns:a16="http://schemas.microsoft.com/office/drawing/2014/main" id="{00000000-0008-0000-0100-00006A000000}"/>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07" name="直線接點​​ 106" descr="裝飾線條">
            <a:extLst>
              <a:ext uri="{FF2B5EF4-FFF2-40B4-BE49-F238E27FC236}">
                <a16:creationId xmlns:a16="http://schemas.microsoft.com/office/drawing/2014/main" id="{00000000-0008-0000-0100-00006B000000}"/>
              </a:ext>
            </a:extLst>
          </xdr:cNvPr>
          <xdr:cNvCxnSpPr>
            <a:cxnSpLocks/>
          </xdr:cNvCxnSpPr>
        </xdr:nvCxnSpPr>
        <xdr:spPr>
          <a:xfrm>
            <a:off x="579529"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8" name="直線接點​​ 107" descr="裝飾線條">
            <a:extLst>
              <a:ext uri="{FF2B5EF4-FFF2-40B4-BE49-F238E27FC236}">
                <a16:creationId xmlns:a16="http://schemas.microsoft.com/office/drawing/2014/main" id="{00000000-0008-0000-0100-00006C000000}"/>
              </a:ext>
            </a:extLst>
          </xdr:cNvPr>
          <xdr:cNvCxnSpPr>
            <a:cxnSpLocks/>
          </xdr:cNvCxnSpPr>
        </xdr:nvCxnSpPr>
        <xdr:spPr>
          <a:xfrm>
            <a:off x="579529"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9" name="步驟" descr="深入了解 SUMIF 函數">
            <a:extLst>
              <a:ext uri="{FF2B5EF4-FFF2-40B4-BE49-F238E27FC236}">
                <a16:creationId xmlns:a16="http://schemas.microsoft.com/office/drawing/2014/main" id="{00000000-0008-0000-0100-00006D000000}"/>
              </a:ext>
            </a:extLst>
          </xdr:cNvPr>
          <xdr:cNvSpPr txBox="1"/>
        </xdr:nvSpPr>
        <xdr:spPr>
          <a:xfrm>
            <a:off x="576376" y="13488151"/>
            <a:ext cx="5220000"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 SUMIF 函數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0" name="步驟" descr="我們同時在此工作表的頂端顯示 SUMIF 函數。SUMIF 函數會依據準則將合計加總。如果 SUMIF 函數會說話，它會說：&#10;">
            <a:extLst>
              <a:ext uri="{FF2B5EF4-FFF2-40B4-BE49-F238E27FC236}">
                <a16:creationId xmlns:a16="http://schemas.microsoft.com/office/drawing/2014/main" id="{00000000-0008-0000-0100-00006E000000}"/>
              </a:ext>
            </a:extLst>
          </xdr:cNvPr>
          <xdr:cNvSpPr txBox="1"/>
        </xdr:nvSpPr>
        <xdr:spPr>
          <a:xfrm>
            <a:off x="553341" y="14086482"/>
            <a:ext cx="5342633"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我們同時在此工作表的頂端顯示 SUMIF 函數。SUMIF 函數會依據準則將合計加總。</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 SUMIF 函數會說話，它會說：</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1" name="步驟" descr="附註：如果您撰寫了大量 SUMIF 公式，建議您使用樞紐分析表。如需詳細資訊，請參閱樞紐分析表工作表&#10;">
            <a:hlinkClick xmlns:r="http://schemas.openxmlformats.org/officeDocument/2006/relationships" r:id="rId12" tooltip="選取以移至 [樞紐分析表] 工作表"/>
            <a:extLst>
              <a:ext uri="{FF2B5EF4-FFF2-40B4-BE49-F238E27FC236}">
                <a16:creationId xmlns:a16="http://schemas.microsoft.com/office/drawing/2014/main" id="{00000000-0008-0000-0100-00006F000000}"/>
              </a:ext>
            </a:extLst>
          </xdr:cNvPr>
          <xdr:cNvSpPr txBox="1"/>
        </xdr:nvSpPr>
        <xdr:spPr>
          <a:xfrm>
            <a:off x="553342" y="16198822"/>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注意：</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撰寫了大量 SUMIF 公式，建議您使用樞紐分析表。</a:t>
            </a:r>
            <a:r>
              <a:rPr lang="zh-tw" sz="1100" u="sng"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如需詳細資訊，請參閱 [樞紐分析表] 工作表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3" name="文字方塊 100" descr="=SUMIF(D73:D77,&quot;&gt;50&quot;)&#10;&#10;">
            <a:extLst>
              <a:ext uri="{FF2B5EF4-FFF2-40B4-BE49-F238E27FC236}">
                <a16:creationId xmlns:a16="http://schemas.microsoft.com/office/drawing/2014/main" id="{00000000-0008-0000-0100-000071000000}"/>
              </a:ext>
            </a:extLst>
          </xdr:cNvPr>
          <xdr:cNvSpPr txBox="1"/>
        </xdr:nvSpPr>
        <xdr:spPr>
          <a:xfrm>
            <a:off x="541774" y="15649276"/>
            <a:ext cx="3255927"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spc="100" baseline="0">
                <a:effectLst/>
                <a:latin typeface="Microsoft JhengHei UI" panose="020B0604030504040204" pitchFamily="34" charset="-120"/>
                <a:ea typeface="Microsoft JhengHei UI" panose="020B0604030504040204" pitchFamily="34" charset="-120"/>
                <a:cs typeface="Courier New" panose="02070309020205020404" pitchFamily="49" charset="0"/>
              </a:rPr>
              <a:t>=SUMIF(D73:D77,"&gt;50")</a:t>
            </a:r>
          </a:p>
          <a:p>
            <a:pPr marL="0" marR="0" rtl="0">
              <a:spcBef>
                <a:spcPts val="0"/>
              </a:spcBef>
              <a:spcAft>
                <a:spcPts val="0"/>
              </a:spcAft>
            </a:pPr>
            <a:endParaRPr lang="en-US" sz="2000" spc="100" baseline="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14" name="左大括弧 113">
            <a:extLst>
              <a:ext uri="{FF2B5EF4-FFF2-40B4-BE49-F238E27FC236}">
                <a16:creationId xmlns:a16="http://schemas.microsoft.com/office/drawing/2014/main" id="{00000000-0008-0000-0100-000072000000}"/>
              </a:ext>
            </a:extLst>
          </xdr:cNvPr>
          <xdr:cNvSpPr/>
        </xdr:nvSpPr>
        <xdr:spPr>
          <a:xfrm rot="5400000">
            <a:off x="1055156" y="15232722"/>
            <a:ext cx="197659" cy="773389"/>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15" name="文字方塊 2" descr="依據以下準則將某些數值加總：&#10;">
            <a:extLst>
              <a:ext uri="{FF2B5EF4-FFF2-40B4-BE49-F238E27FC236}">
                <a16:creationId xmlns:a16="http://schemas.microsoft.com/office/drawing/2014/main" id="{00000000-0008-0000-0100-000073000000}"/>
              </a:ext>
            </a:extLst>
          </xdr:cNvPr>
          <xdr:cNvSpPr txBox="1">
            <a:spLocks noChangeArrowheads="1"/>
          </xdr:cNvSpPr>
        </xdr:nvSpPr>
        <xdr:spPr bwMode="auto">
          <a:xfrm>
            <a:off x="521615" y="14670791"/>
            <a:ext cx="977785"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依據以下準則將某些數值加總：</a:t>
            </a:r>
          </a:p>
        </xdr:txBody>
      </xdr:sp>
      <xdr:sp macro="" textlink="">
        <xdr:nvSpPr>
          <xdr:cNvPr id="116" name="左大括弧 115">
            <a:extLst>
              <a:ext uri="{FF2B5EF4-FFF2-40B4-BE49-F238E27FC236}">
                <a16:creationId xmlns:a16="http://schemas.microsoft.com/office/drawing/2014/main" id="{00000000-0008-0000-0100-000074000000}"/>
              </a:ext>
            </a:extLst>
          </xdr:cNvPr>
          <xdr:cNvSpPr/>
        </xdr:nvSpPr>
        <xdr:spPr>
          <a:xfrm rot="5400000">
            <a:off x="2083206" y="15038203"/>
            <a:ext cx="215019" cy="1167975"/>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17" name="文字方塊 2" descr="....Look through these cells...&#10; &#10;">
            <a:extLst>
              <a:ext uri="{FF2B5EF4-FFF2-40B4-BE49-F238E27FC236}">
                <a16:creationId xmlns:a16="http://schemas.microsoft.com/office/drawing/2014/main" id="{00000000-0008-0000-0100-000075000000}"/>
              </a:ext>
            </a:extLst>
          </xdr:cNvPr>
          <xdr:cNvSpPr txBox="1">
            <a:spLocks noChangeArrowheads="1"/>
          </xdr:cNvSpPr>
        </xdr:nvSpPr>
        <xdr:spPr bwMode="auto">
          <a:xfrm>
            <a:off x="1588253" y="14671077"/>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....查看這些儲存格...</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2" name="文字方塊 2" descr="...and if the value is greater than 50, sum it up&#10; &#10;">
            <a:extLst>
              <a:ext uri="{FF2B5EF4-FFF2-40B4-BE49-F238E27FC236}">
                <a16:creationId xmlns:a16="http://schemas.microsoft.com/office/drawing/2014/main" id="{00000000-0008-0000-0100-000084000000}"/>
              </a:ext>
            </a:extLst>
          </xdr:cNvPr>
          <xdr:cNvSpPr txBox="1">
            <a:spLocks noChangeArrowheads="1"/>
          </xdr:cNvSpPr>
        </xdr:nvSpPr>
        <xdr:spPr bwMode="auto">
          <a:xfrm>
            <a:off x="2774686" y="14671077"/>
            <a:ext cx="85441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...如果值大於 50，進行加總。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3" name="左大括弧 132">
            <a:extLst>
              <a:ext uri="{FF2B5EF4-FFF2-40B4-BE49-F238E27FC236}">
                <a16:creationId xmlns:a16="http://schemas.microsoft.com/office/drawing/2014/main" id="{00000000-0008-0000-0100-000085000000}"/>
              </a:ext>
            </a:extLst>
          </xdr:cNvPr>
          <xdr:cNvSpPr/>
        </xdr:nvSpPr>
        <xdr:spPr>
          <a:xfrm rot="5400000">
            <a:off x="3128991" y="15232250"/>
            <a:ext cx="197374" cy="762237"/>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2</xdr:col>
      <xdr:colOff>114300</xdr:colOff>
      <xdr:row>52</xdr:row>
      <xdr:rowOff>168182</xdr:rowOff>
    </xdr:from>
    <xdr:to>
      <xdr:col>7</xdr:col>
      <xdr:colOff>177800</xdr:colOff>
      <xdr:row>63</xdr:row>
      <xdr:rowOff>104769</xdr:rowOff>
    </xdr:to>
    <xdr:grpSp>
      <xdr:nvGrpSpPr>
        <xdr:cNvPr id="8" name="要訣詳述"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00000000-0008-0000-0100-000008000000}"/>
            </a:ext>
          </a:extLst>
        </xdr:cNvPr>
        <xdr:cNvGrpSpPr/>
      </xdr:nvGrpSpPr>
      <xdr:grpSpPr>
        <a:xfrm>
          <a:off x="6657975" y="10645682"/>
          <a:ext cx="3873500" cy="2032087"/>
          <a:chOff x="6788150" y="10886500"/>
          <a:chExt cx="3714750" cy="1962681"/>
        </a:xfrm>
      </xdr:grpSpPr>
      <xdr:sp macro="" textlink="">
        <xdr:nvSpPr>
          <xdr:cNvPr id="99" name="指示"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D16. That way it's easily seen and not hidden inside a formula&#10;">
            <a:extLst>
              <a:ext uri="{FF2B5EF4-FFF2-40B4-BE49-F238E27FC236}">
                <a16:creationId xmlns:a16="http://schemas.microsoft.com/office/drawing/2014/main" id="{00000000-0008-0000-0100-000063000000}"/>
              </a:ext>
            </a:extLst>
          </xdr:cNvPr>
          <xdr:cNvSpPr txBox="1"/>
        </xdr:nvSpPr>
        <xdr:spPr>
          <a:xfrm>
            <a:off x="7073900" y="11363325"/>
            <a:ext cx="3429000" cy="1485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按兩下此儲存格。您會在尾端看到 </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100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。雖然您可以像這樣在公式中加入數值，但除非必要，我們不建議您這麼做。這稱為</a:t>
            </a:r>
            <a:r>
              <a:rPr lang="zh-tw" sz="1100" b="1" i="0" kern="1200" baseline="0">
                <a:solidFill>
                  <a:schemeClr val="dk1"/>
                </a:solidFill>
                <a:effectLst/>
                <a:latin typeface="Microsoft JhengHei UI" panose="020B0604030504040204" pitchFamily="34" charset="-120"/>
                <a:ea typeface="Microsoft JhengHei UI" panose="020B0604030504040204" pitchFamily="34" charset="-120"/>
                <a:cs typeface="+mn-cs"/>
              </a:rPr>
              <a:t>「常數」</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，很容易忘記此數值的存在。建議您改為參照其他儲存格，例如儲存格 D16，以便輕鬆看到此數值，而不會隱藏在公式內。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02" name="放大鏡" descr="放大鏡">
            <a:extLst>
              <a:ext uri="{FF2B5EF4-FFF2-40B4-BE49-F238E27FC236}">
                <a16:creationId xmlns:a16="http://schemas.microsoft.com/office/drawing/2014/main" id="{00000000-0008-0000-0100-000066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flipH="1">
            <a:off x="6788150" y="11420475"/>
            <a:ext cx="352313" cy="339611"/>
          </a:xfrm>
          <a:prstGeom prst="rect">
            <a:avLst/>
          </a:prstGeom>
        </xdr:spPr>
      </xdr:pic>
      <xdr:sp macro="" textlink="">
        <xdr:nvSpPr>
          <xdr:cNvPr id="98" name="箭號" descr="箭號">
            <a:extLst>
              <a:ext uri="{FF2B5EF4-FFF2-40B4-BE49-F238E27FC236}">
                <a16:creationId xmlns:a16="http://schemas.microsoft.com/office/drawing/2014/main" id="{00000000-0008-0000-0100-000062000000}"/>
              </a:ext>
            </a:extLst>
          </xdr:cNvPr>
          <xdr:cNvSpPr/>
        </xdr:nvSpPr>
        <xdr:spPr>
          <a:xfrm rot="5661646">
            <a:off x="7744441" y="10901689"/>
            <a:ext cx="686893" cy="656515"/>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4</xdr:col>
      <xdr:colOff>64570</xdr:colOff>
      <xdr:row>36</xdr:row>
      <xdr:rowOff>82549</xdr:rowOff>
    </xdr:from>
    <xdr:to>
      <xdr:col>7</xdr:col>
      <xdr:colOff>609600</xdr:colOff>
      <xdr:row>43</xdr:row>
      <xdr:rowOff>158750</xdr:rowOff>
    </xdr:to>
    <xdr:grpSp>
      <xdr:nvGrpSpPr>
        <xdr:cNvPr id="12" name="動手嘗試"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0C000000}"/>
            </a:ext>
          </a:extLst>
        </xdr:cNvPr>
        <xdr:cNvGrpSpPr/>
      </xdr:nvGrpSpPr>
      <xdr:grpSpPr>
        <a:xfrm>
          <a:off x="8132245" y="7512049"/>
          <a:ext cx="2831030" cy="1409701"/>
          <a:chOff x="7539454" y="7993902"/>
          <a:chExt cx="2591149" cy="1409701"/>
        </a:xfrm>
      </xdr:grpSpPr>
      <xdr:grpSp>
        <xdr:nvGrpSpPr>
          <xdr:cNvPr id="119" name="括號行">
            <a:extLst>
              <a:ext uri="{FF2B5EF4-FFF2-40B4-BE49-F238E27FC236}">
                <a16:creationId xmlns:a16="http://schemas.microsoft.com/office/drawing/2014/main" id="{00000000-0008-0000-0100-000077000000}"/>
              </a:ext>
            </a:extLst>
          </xdr:cNvPr>
          <xdr:cNvGrpSpPr/>
        </xdr:nvGrpSpPr>
        <xdr:grpSpPr>
          <a:xfrm rot="599914">
            <a:off x="7539454" y="8145377"/>
            <a:ext cx="293814" cy="698211"/>
            <a:chOff x="9871108" y="1184220"/>
            <a:chExt cx="273326" cy="789155"/>
          </a:xfrm>
        </xdr:grpSpPr>
        <xdr:sp macro="" textlink="">
          <xdr:nvSpPr>
            <xdr:cNvPr id="120" name="另一個括號行" descr="括號行">
              <a:extLst>
                <a:ext uri="{FF2B5EF4-FFF2-40B4-BE49-F238E27FC236}">
                  <a16:creationId xmlns:a16="http://schemas.microsoft.com/office/drawing/2014/main" id="{00000000-0008-0000-0100-000078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1" name="括號行" descr="括號行&#10;">
              <a:extLst>
                <a:ext uri="{FF2B5EF4-FFF2-40B4-BE49-F238E27FC236}">
                  <a16:creationId xmlns:a16="http://schemas.microsoft.com/office/drawing/2014/main" id="{00000000-0008-0000-0100-000079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pic>
        <xdr:nvPicPr>
          <xdr:cNvPr id="97" name="星星" descr="星星">
            <a:extLst>
              <a:ext uri="{FF2B5EF4-FFF2-40B4-BE49-F238E27FC236}">
                <a16:creationId xmlns:a16="http://schemas.microsoft.com/office/drawing/2014/main" id="{00000000-0008-0000-0100-000061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830674" y="8038700"/>
            <a:ext cx="388098" cy="337815"/>
          </a:xfrm>
          <a:prstGeom prst="rect">
            <a:avLst/>
          </a:prstGeom>
        </xdr:spPr>
      </xdr:pic>
      <xdr:sp macro="" textlink="">
        <xdr:nvSpPr>
          <xdr:cNvPr id="96" name="說明" descr="Select these cells. Then in the lower-right corner of the Excel window, look for this:&#10;Sum: 170&#10;That's just another way to quickly find a total&#10;">
            <a:extLst>
              <a:ext uri="{FF2B5EF4-FFF2-40B4-BE49-F238E27FC236}">
                <a16:creationId xmlns:a16="http://schemas.microsoft.com/office/drawing/2014/main" id="{00000000-0008-0000-0100-000060000000}"/>
              </a:ext>
            </a:extLst>
          </xdr:cNvPr>
          <xdr:cNvSpPr txBox="1"/>
        </xdr:nvSpPr>
        <xdr:spPr>
          <a:xfrm>
            <a:off x="8132529" y="7993902"/>
            <a:ext cx="199807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立即查看</a:t>
            </a: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選取這些儲存格。然後在 Excel 視窗右下角</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找出以下內容：</a:t>
            </a:r>
          </a:p>
          <a:p>
            <a:pPr lvl="0" rtl="0">
              <a:defRPr/>
            </a:pPr>
            <a:br>
              <a:rPr lang="en-US"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b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這是快速找出合計的另一種方法。 </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346284</xdr:colOff>
      <xdr:row>25</xdr:row>
      <xdr:rowOff>171888</xdr:rowOff>
    </xdr:from>
    <xdr:to>
      <xdr:col>1</xdr:col>
      <xdr:colOff>5029409</xdr:colOff>
      <xdr:row>63</xdr:row>
      <xdr:rowOff>158750</xdr:rowOff>
    </xdr:to>
    <xdr:grpSp>
      <xdr:nvGrpSpPr>
        <xdr:cNvPr id="3" name="深入了解 SUM"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00000000-0008-0000-0100-000003000000}"/>
            </a:ext>
          </a:extLst>
        </xdr:cNvPr>
        <xdr:cNvGrpSpPr/>
      </xdr:nvGrpSpPr>
      <xdr:grpSpPr>
        <a:xfrm>
          <a:off x="346284" y="5505888"/>
          <a:ext cx="5778500" cy="7225862"/>
          <a:chOff x="346284" y="5905938"/>
          <a:chExt cx="5737225" cy="6997262"/>
        </a:xfrm>
      </xdr:grpSpPr>
      <xdr:sp macro="" textlink="">
        <xdr:nvSpPr>
          <xdr:cNvPr id="53" name="矩形 52" descr="背景​​">
            <a:extLst>
              <a:ext uri="{FF2B5EF4-FFF2-40B4-BE49-F238E27FC236}">
                <a16:creationId xmlns:a16="http://schemas.microsoft.com/office/drawing/2014/main" id="{00000000-0008-0000-0100-000035000000}"/>
              </a:ext>
            </a:extLst>
          </xdr:cNvPr>
          <xdr:cNvSpPr/>
        </xdr:nvSpPr>
        <xdr:spPr>
          <a:xfrm>
            <a:off x="346284" y="5905938"/>
            <a:ext cx="5737225" cy="699726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54" name="直線接點 53" descr="裝飾線條">
            <a:extLst>
              <a:ext uri="{FF2B5EF4-FFF2-40B4-BE49-F238E27FC236}">
                <a16:creationId xmlns:a16="http://schemas.microsoft.com/office/drawing/2014/main" id="{00000000-0008-0000-0100-000036000000}"/>
              </a:ext>
            </a:extLst>
          </xdr:cNvPr>
          <xdr:cNvCxnSpPr>
            <a:cxnSpLocks/>
          </xdr:cNvCxnSpPr>
        </xdr:nvCxnSpPr>
        <xdr:spPr>
          <a:xfrm>
            <a:off x="581208" y="651043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55" name="直線接點 54" descr="裝飾線條">
            <a:extLst>
              <a:ext uri="{FF2B5EF4-FFF2-40B4-BE49-F238E27FC236}">
                <a16:creationId xmlns:a16="http://schemas.microsoft.com/office/drawing/2014/main" id="{00000000-0008-0000-0100-000037000000}"/>
              </a:ext>
            </a:extLst>
          </xdr:cNvPr>
          <xdr:cNvCxnSpPr>
            <a:cxnSpLocks/>
          </xdr:cNvCxnSpPr>
        </xdr:nvCxnSpPr>
        <xdr:spPr>
          <a:xfrm>
            <a:off x="581208" y="12605900"/>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2" name="步驟" descr="深入了解 SUM 函數 ">
            <a:extLst>
              <a:ext uri="{FF2B5EF4-FFF2-40B4-BE49-F238E27FC236}">
                <a16:creationId xmlns:a16="http://schemas.microsoft.com/office/drawing/2014/main" id="{00000000-0008-0000-0100-000034000000}"/>
              </a:ext>
            </a:extLst>
          </xdr:cNvPr>
          <xdr:cNvSpPr txBox="1"/>
        </xdr:nvSpPr>
        <xdr:spPr>
          <a:xfrm>
            <a:off x="578032" y="6019005"/>
            <a:ext cx="5257826" cy="474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深入了解 SUM 函數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50" name="步驟" descr="In some of the above tips, we taught you how to use the SUM function. Here are more details about it. Double-click a yellow cell on the right, and then read along with the text below.&#10;&#10;If the SUM function could talk, it would say this:&#10;">
            <a:extLst>
              <a:ext uri="{FF2B5EF4-FFF2-40B4-BE49-F238E27FC236}">
                <a16:creationId xmlns:a16="http://schemas.microsoft.com/office/drawing/2014/main" id="{00000000-0008-0000-0100-000032000000}"/>
              </a:ext>
            </a:extLst>
          </xdr:cNvPr>
          <xdr:cNvSpPr txBox="1"/>
        </xdr:nvSpPr>
        <xdr:spPr>
          <a:xfrm>
            <a:off x="554831" y="6594579"/>
            <a:ext cx="5275825" cy="1038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在上述的某些祕訣中，我們教您如何使用 SUM 函數。以下是這個函數相關的詳細資料。按兩下右側的黃色儲存格，然後閱讀</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以下文字內容。</a:t>
            </a:r>
          </a:p>
          <a:p>
            <a:pPr lvl="0" rtl="0">
              <a:defRPr/>
            </a:pPr>
            <a:endParaRPr lang="en-US"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 SUM 函數會說話，它會說：</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0" name="步驟" descr="以下是另一種使用方法：&#10;">
            <a:extLst>
              <a:ext uri="{FF2B5EF4-FFF2-40B4-BE49-F238E27FC236}">
                <a16:creationId xmlns:a16="http://schemas.microsoft.com/office/drawing/2014/main" id="{00000000-0008-0000-0100-000050000000}"/>
              </a:ext>
            </a:extLst>
          </xdr:cNvPr>
          <xdr:cNvSpPr txBox="1"/>
        </xdr:nvSpPr>
        <xdr:spPr>
          <a:xfrm>
            <a:off x="554831" y="9233004"/>
            <a:ext cx="5342213" cy="336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以下是另一種使用方法：</a:t>
            </a:r>
          </a:p>
        </xdr:txBody>
      </xdr:sp>
      <xdr:grpSp>
        <xdr:nvGrpSpPr>
          <xdr:cNvPr id="79" name="群組 78">
            <a:extLst>
              <a:ext uri="{FF2B5EF4-FFF2-40B4-BE49-F238E27FC236}">
                <a16:creationId xmlns:a16="http://schemas.microsoft.com/office/drawing/2014/main" id="{00000000-0008-0000-0100-00004F000000}"/>
              </a:ext>
            </a:extLst>
          </xdr:cNvPr>
          <xdr:cNvGrpSpPr/>
        </xdr:nvGrpSpPr>
        <xdr:grpSpPr>
          <a:xfrm>
            <a:off x="542925" y="7756739"/>
            <a:ext cx="3279775" cy="1443544"/>
            <a:chOff x="1057275" y="8191585"/>
            <a:chExt cx="3238500" cy="1475424"/>
          </a:xfrm>
        </xdr:grpSpPr>
        <xdr:sp macro="" textlink="">
          <xdr:nvSpPr>
            <xdr:cNvPr id="74" name="文字方塊 100" descr="=SUM(D38:D41) ">
              <a:extLst>
                <a:ext uri="{FF2B5EF4-FFF2-40B4-BE49-F238E27FC236}">
                  <a16:creationId xmlns:a16="http://schemas.microsoft.com/office/drawing/2014/main" id="{00000000-0008-0000-0100-00004A000000}"/>
                </a:ext>
              </a:extLst>
            </xdr:cNvPr>
            <xdr:cNvSpPr txBox="1"/>
          </xdr:nvSpPr>
          <xdr:spPr>
            <a:xfrm>
              <a:off x="1057275" y="9162181"/>
              <a:ext cx="3238500" cy="5048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rtl="0">
                <a:spcBef>
                  <a:spcPts val="0"/>
                </a:spcBef>
                <a:spcAft>
                  <a:spcPts val="0"/>
                </a:spcAft>
              </a:pPr>
              <a:r>
                <a:rPr lang="zh-tw" sz="20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=SUM(D38:D41) </a:t>
              </a:r>
              <a:endParaRPr lang="en-US" sz="20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75" name="左大括弧 74">
              <a:extLst>
                <a:ext uri="{FF2B5EF4-FFF2-40B4-BE49-F238E27FC236}">
                  <a16:creationId xmlns:a16="http://schemas.microsoft.com/office/drawing/2014/main" id="{00000000-0008-0000-0100-00004B000000}"/>
                </a:ext>
              </a:extLst>
            </xdr:cNvPr>
            <xdr:cNvSpPr/>
          </xdr:nvSpPr>
          <xdr:spPr>
            <a:xfrm rot="5400000">
              <a:off x="1372692" y="8859196"/>
              <a:ext cx="227063" cy="54001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76" name="文字方塊 2" descr="將以下數值加總：&#10;">
              <a:extLst>
                <a:ext uri="{FF2B5EF4-FFF2-40B4-BE49-F238E27FC236}">
                  <a16:creationId xmlns:a16="http://schemas.microsoft.com/office/drawing/2014/main" id="{00000000-0008-0000-0100-00004C000000}"/>
                </a:ext>
              </a:extLst>
            </xdr:cNvPr>
            <xdr:cNvSpPr txBox="1">
              <a:spLocks noChangeArrowheads="1"/>
            </xdr:cNvSpPr>
          </xdr:nvSpPr>
          <xdr:spPr bwMode="auto">
            <a:xfrm>
              <a:off x="1065799" y="8191585"/>
              <a:ext cx="765138" cy="8447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將以下數值加總：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77" name="左大括弧 76">
              <a:extLst>
                <a:ext uri="{FF2B5EF4-FFF2-40B4-BE49-F238E27FC236}">
                  <a16:creationId xmlns:a16="http://schemas.microsoft.com/office/drawing/2014/main" id="{00000000-0008-0000-0100-00004D000000}"/>
                </a:ext>
              </a:extLst>
            </xdr:cNvPr>
            <xdr:cNvSpPr/>
          </xdr:nvSpPr>
          <xdr:spPr>
            <a:xfrm rot="5400000">
              <a:off x="2256488" y="8590072"/>
              <a:ext cx="195783" cy="1072982"/>
            </a:xfrm>
            <a:prstGeom prst="leftBrace">
              <a:avLst>
                <a:gd name="adj1" fmla="val 8333"/>
                <a:gd name="adj2" fmla="val 3831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78" name="文字方塊 2" descr="…儲存格 D38、D39、D40 和 D41 中的值">
              <a:extLst>
                <a:ext uri="{FF2B5EF4-FFF2-40B4-BE49-F238E27FC236}">
                  <a16:creationId xmlns:a16="http://schemas.microsoft.com/office/drawing/2014/main" id="{00000000-0008-0000-0100-00004E000000}"/>
                </a:ext>
              </a:extLst>
            </xdr:cNvPr>
            <xdr:cNvSpPr txBox="1">
              <a:spLocks noChangeArrowheads="1"/>
            </xdr:cNvSpPr>
          </xdr:nvSpPr>
          <xdr:spPr bwMode="auto">
            <a:xfrm>
              <a:off x="1905641" y="8191869"/>
              <a:ext cx="1123309" cy="84479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D38、D39、D40 和 D41 中</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的值</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105" name="群組 104">
            <a:extLst>
              <a:ext uri="{FF2B5EF4-FFF2-40B4-BE49-F238E27FC236}">
                <a16:creationId xmlns:a16="http://schemas.microsoft.com/office/drawing/2014/main" id="{00000000-0008-0000-0100-000069000000}"/>
              </a:ext>
            </a:extLst>
          </xdr:cNvPr>
          <xdr:cNvGrpSpPr/>
        </xdr:nvGrpSpPr>
        <xdr:grpSpPr>
          <a:xfrm>
            <a:off x="457200" y="9577429"/>
            <a:ext cx="4927601" cy="1408555"/>
            <a:chOff x="457200" y="9727117"/>
            <a:chExt cx="4886326" cy="1455714"/>
          </a:xfrm>
        </xdr:grpSpPr>
        <xdr:sp macro="" textlink="">
          <xdr:nvSpPr>
            <xdr:cNvPr id="81" name="文字方塊 100" descr="=SUM(D48,G48:G51,100) &#10;">
              <a:extLst>
                <a:ext uri="{FF2B5EF4-FFF2-40B4-BE49-F238E27FC236}">
                  <a16:creationId xmlns:a16="http://schemas.microsoft.com/office/drawing/2014/main" id="{00000000-0008-0000-0100-000051000000}"/>
                </a:ext>
              </a:extLst>
            </xdr:cNvPr>
            <xdr:cNvSpPr txBox="1"/>
          </xdr:nvSpPr>
          <xdr:spPr>
            <a:xfrm>
              <a:off x="457200" y="10698465"/>
              <a:ext cx="4886326" cy="4843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20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=SUM(D48,G48:G51,100) </a:t>
              </a:r>
              <a:endParaRPr lang="en-US" sz="20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grpSp>
          <xdr:nvGrpSpPr>
            <xdr:cNvPr id="82" name="群組 81">
              <a:extLst>
                <a:ext uri="{FF2B5EF4-FFF2-40B4-BE49-F238E27FC236}">
                  <a16:creationId xmlns:a16="http://schemas.microsoft.com/office/drawing/2014/main" id="{00000000-0008-0000-0100-000052000000}"/>
                </a:ext>
              </a:extLst>
            </xdr:cNvPr>
            <xdr:cNvGrpSpPr/>
          </xdr:nvGrpSpPr>
          <xdr:grpSpPr>
            <a:xfrm>
              <a:off x="560797" y="9744414"/>
              <a:ext cx="818417" cy="1065765"/>
              <a:chOff x="-268268" y="-198227"/>
              <a:chExt cx="1043235" cy="1181084"/>
            </a:xfrm>
          </xdr:grpSpPr>
          <xdr:sp macro="" textlink="">
            <xdr:nvSpPr>
              <xdr:cNvPr id="83" name="左大括弧 82">
                <a:extLst>
                  <a:ext uri="{FF2B5EF4-FFF2-40B4-BE49-F238E27FC236}">
                    <a16:creationId xmlns:a16="http://schemas.microsoft.com/office/drawing/2014/main" id="{00000000-0008-0000-0100-000053000000}"/>
                  </a:ext>
                </a:extLst>
              </xdr:cNvPr>
              <xdr:cNvSpPr/>
            </xdr:nvSpPr>
            <xdr:spPr>
              <a:xfrm rot="5400000">
                <a:off x="196800" y="549454"/>
                <a:ext cx="242885" cy="6239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84" name="文字方塊 2" descr="Sum the following:&#10; &#10;">
                <a:extLst>
                  <a:ext uri="{FF2B5EF4-FFF2-40B4-BE49-F238E27FC236}">
                    <a16:creationId xmlns:a16="http://schemas.microsoft.com/office/drawing/2014/main" id="{00000000-0008-0000-0100-000054000000}"/>
                  </a:ext>
                </a:extLst>
              </xdr:cNvPr>
              <xdr:cNvSpPr txBox="1">
                <a:spLocks noChangeArrowheads="1"/>
              </xdr:cNvSpPr>
            </xdr:nvSpPr>
            <xdr:spPr bwMode="auto">
              <a:xfrm>
                <a:off x="-268268" y="-198227"/>
                <a:ext cx="1043235" cy="930471"/>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將以下數值加總：</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85" name="群組 84">
              <a:extLst>
                <a:ext uri="{FF2B5EF4-FFF2-40B4-BE49-F238E27FC236}">
                  <a16:creationId xmlns:a16="http://schemas.microsoft.com/office/drawing/2014/main" id="{00000000-0008-0000-0100-000055000000}"/>
                </a:ext>
              </a:extLst>
            </xdr:cNvPr>
            <xdr:cNvGrpSpPr/>
          </xdr:nvGrpSpPr>
          <xdr:grpSpPr>
            <a:xfrm>
              <a:off x="1392156" y="9735725"/>
              <a:ext cx="733287" cy="1065768"/>
              <a:chOff x="-199890" y="-198227"/>
              <a:chExt cx="735230" cy="1181087"/>
            </a:xfrm>
          </xdr:grpSpPr>
          <xdr:sp macro="" textlink="">
            <xdr:nvSpPr>
              <xdr:cNvPr id="86" name="左大括弧 85">
                <a:extLst>
                  <a:ext uri="{FF2B5EF4-FFF2-40B4-BE49-F238E27FC236}">
                    <a16:creationId xmlns:a16="http://schemas.microsoft.com/office/drawing/2014/main" id="{00000000-0008-0000-0100-000056000000}"/>
                  </a:ext>
                </a:extLst>
              </xdr:cNvPr>
              <xdr:cNvSpPr/>
            </xdr:nvSpPr>
            <xdr:spPr>
              <a:xfrm rot="5400000">
                <a:off x="-83293" y="624788"/>
                <a:ext cx="242885" cy="47326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87" name="文字方塊 2" descr="…the value in cell D48…&#10; &#10;">
                <a:extLst>
                  <a:ext uri="{FF2B5EF4-FFF2-40B4-BE49-F238E27FC236}">
                    <a16:creationId xmlns:a16="http://schemas.microsoft.com/office/drawing/2014/main" id="{00000000-0008-0000-0100-000057000000}"/>
                  </a:ext>
                </a:extLst>
              </xdr:cNvPr>
              <xdr:cNvSpPr txBox="1">
                <a:spLocks noChangeArrowheads="1"/>
              </xdr:cNvSpPr>
            </xdr:nvSpPr>
            <xdr:spPr bwMode="auto">
              <a:xfrm>
                <a:off x="-199890" y="-198227"/>
                <a:ext cx="735230"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D48 中的值…</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nvGrpSpPr>
            <xdr:cNvPr id="88" name="群組 87">
              <a:extLst>
                <a:ext uri="{FF2B5EF4-FFF2-40B4-BE49-F238E27FC236}">
                  <a16:creationId xmlns:a16="http://schemas.microsoft.com/office/drawing/2014/main" id="{00000000-0008-0000-0100-000058000000}"/>
                </a:ext>
              </a:extLst>
            </xdr:cNvPr>
            <xdr:cNvGrpSpPr/>
          </xdr:nvGrpSpPr>
          <xdr:grpSpPr>
            <a:xfrm>
              <a:off x="1900287" y="9727117"/>
              <a:ext cx="1285055" cy="1065767"/>
              <a:chOff x="-529733" y="-207669"/>
              <a:chExt cx="1286170" cy="1181085"/>
            </a:xfrm>
          </xdr:grpSpPr>
          <xdr:sp macro="" textlink="">
            <xdr:nvSpPr>
              <xdr:cNvPr id="89" name="左大括弧 88">
                <a:extLst>
                  <a:ext uri="{FF2B5EF4-FFF2-40B4-BE49-F238E27FC236}">
                    <a16:creationId xmlns:a16="http://schemas.microsoft.com/office/drawing/2014/main" id="{00000000-0008-0000-0100-000059000000}"/>
                  </a:ext>
                </a:extLst>
              </xdr:cNvPr>
              <xdr:cNvSpPr/>
            </xdr:nvSpPr>
            <xdr:spPr>
              <a:xfrm rot="5400000">
                <a:off x="-110187" y="310985"/>
                <a:ext cx="242885" cy="10819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90" name="文字方塊 2" descr="…the values in cells G48, G49, G50, and  G51... &#10;">
                <a:extLst>
                  <a:ext uri="{FF2B5EF4-FFF2-40B4-BE49-F238E27FC236}">
                    <a16:creationId xmlns:a16="http://schemas.microsoft.com/office/drawing/2014/main" id="{00000000-0008-0000-0100-00005A000000}"/>
                  </a:ext>
                </a:extLst>
              </xdr:cNvPr>
              <xdr:cNvSpPr txBox="1">
                <a:spLocks noChangeArrowheads="1"/>
              </xdr:cNvSpPr>
            </xdr:nvSpPr>
            <xdr:spPr bwMode="auto">
              <a:xfrm>
                <a:off x="-266626" y="-207669"/>
                <a:ext cx="1023063" cy="93047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…儲存格 G48、G49、G50 和 G51中的值... </a:t>
                </a:r>
              </a:p>
            </xdr:txBody>
          </xdr:sp>
        </xdr:grpSp>
        <xdr:grpSp>
          <xdr:nvGrpSpPr>
            <xdr:cNvPr id="91" name="群組 90">
              <a:extLst>
                <a:ext uri="{FF2B5EF4-FFF2-40B4-BE49-F238E27FC236}">
                  <a16:creationId xmlns:a16="http://schemas.microsoft.com/office/drawing/2014/main" id="{00000000-0008-0000-0100-00005B000000}"/>
                </a:ext>
              </a:extLst>
            </xdr:cNvPr>
            <xdr:cNvGrpSpPr/>
          </xdr:nvGrpSpPr>
          <xdr:grpSpPr>
            <a:xfrm>
              <a:off x="3015801" y="9735734"/>
              <a:ext cx="844735" cy="1044048"/>
              <a:chOff x="-156705" y="-198228"/>
              <a:chExt cx="845468" cy="1157145"/>
            </a:xfrm>
          </xdr:grpSpPr>
          <xdr:sp macro="" textlink="">
            <xdr:nvSpPr>
              <xdr:cNvPr id="92" name="左大括弧 91">
                <a:extLst>
                  <a:ext uri="{FF2B5EF4-FFF2-40B4-BE49-F238E27FC236}">
                    <a16:creationId xmlns:a16="http://schemas.microsoft.com/office/drawing/2014/main" id="{00000000-0008-0000-0100-00005C000000}"/>
                  </a:ext>
                </a:extLst>
              </xdr:cNvPr>
              <xdr:cNvSpPr/>
            </xdr:nvSpPr>
            <xdr:spPr>
              <a:xfrm rot="5400000">
                <a:off x="-35327" y="626691"/>
                <a:ext cx="210848" cy="453603"/>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93" name="文字方塊 2" descr="...以及 100&#10;">
                <a:extLst>
                  <a:ext uri="{FF2B5EF4-FFF2-40B4-BE49-F238E27FC236}">
                    <a16:creationId xmlns:a16="http://schemas.microsoft.com/office/drawing/2014/main" id="{00000000-0008-0000-0100-00005D000000}"/>
                  </a:ext>
                </a:extLst>
              </xdr:cNvPr>
              <xdr:cNvSpPr txBox="1">
                <a:spLocks noChangeArrowheads="1"/>
              </xdr:cNvSpPr>
            </xdr:nvSpPr>
            <xdr:spPr bwMode="auto">
              <a:xfrm>
                <a:off x="38112" y="-198228"/>
                <a:ext cx="650651" cy="93046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…以及 100。</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grpSp>
      </xdr:grpSp>
      <xdr:sp macro="" textlink="">
        <xdr:nvSpPr>
          <xdr:cNvPr id="138" name="步驟" descr="The formula above uses the following:&#10;&#10;• A single cell reference, which is the &quot;address&quot; or &quot;name&quot; of a cell. D48 is the single cell reference in the formula above. &#10;• A range of cells, which is a series of cells starting at one cell and ending at another.  G48:G51 is the range of cells in the formula.&#10;• A constant. The constant in this formula is the number 100">
            <a:extLst>
              <a:ext uri="{FF2B5EF4-FFF2-40B4-BE49-F238E27FC236}">
                <a16:creationId xmlns:a16="http://schemas.microsoft.com/office/drawing/2014/main" id="{00000000-0008-0000-0100-00008A000000}"/>
              </a:ext>
            </a:extLst>
          </xdr:cNvPr>
          <xdr:cNvSpPr txBox="1"/>
        </xdr:nvSpPr>
        <xdr:spPr>
          <a:xfrm>
            <a:off x="554831" y="10976078"/>
            <a:ext cx="5342213" cy="1542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上述公式會使用以下項目：</a:t>
            </a:r>
          </a:p>
          <a:p>
            <a:pPr rtl="0" eaLnBrk="1" fontAlgn="auto" latinLnBrk="0" hangingPunct="1"/>
            <a:endParaRPr lang="en-US"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單一儲存格參照</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，也就是 [地址] 或 [名稱] 儲存格。D48 為上述公式的單一儲存格參照。 </a:t>
            </a: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儲存格範圍</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，也就是從某個儲存格開始並在另一個儲存格結束的儲存格數列。G48:G51 是公式的儲存格範圍。</a:t>
            </a:r>
          </a:p>
          <a:p>
            <a:pPr rtl="0" eaLnBrk="1" fontAlgn="auto" latinLnBrk="0" hangingPunct="1">
              <a:spcAft>
                <a:spcPts val="600"/>
              </a:spcAft>
            </a:pP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 一個</a:t>
            </a:r>
            <a:r>
              <a:rPr lang="zh-tw" sz="1100" b="1"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常數</a:t>
            </a:r>
            <a:r>
              <a:rPr lang="zh-tw" sz="1100" b="0" i="0" kern="12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。此公式中的常數為數字 100。 </a:t>
            </a:r>
            <a:endParaRPr lang="en-US" sz="1100" spc="-3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6</xdr:col>
      <xdr:colOff>314325</xdr:colOff>
      <xdr:row>15</xdr:row>
      <xdr:rowOff>66675</xdr:rowOff>
    </xdr:from>
    <xdr:to>
      <xdr:col>9</xdr:col>
      <xdr:colOff>387350</xdr:colOff>
      <xdr:row>22</xdr:row>
      <xdr:rowOff>114299</xdr:rowOff>
    </xdr:to>
    <xdr:grpSp>
      <xdr:nvGrpSpPr>
        <xdr:cNvPr id="4" name="群組 3" descr="EXTRA CREDIT&#10;Try adding another SUMIF formula here, but add amounts that are less than 100. The result should be 160&#10;">
          <a:extLst>
            <a:ext uri="{FF2B5EF4-FFF2-40B4-BE49-F238E27FC236}">
              <a16:creationId xmlns:a16="http://schemas.microsoft.com/office/drawing/2014/main" id="{6B6FA3A9-A48D-4327-9039-63A2E8740C34}"/>
            </a:ext>
          </a:extLst>
        </xdr:cNvPr>
        <xdr:cNvGrpSpPr/>
      </xdr:nvGrpSpPr>
      <xdr:grpSpPr>
        <a:xfrm>
          <a:off x="9906000" y="3495675"/>
          <a:ext cx="2359025" cy="1381124"/>
          <a:chOff x="9048750" y="3743325"/>
          <a:chExt cx="2162175" cy="1381124"/>
        </a:xfrm>
      </xdr:grpSpPr>
      <xdr:sp macro="" textlink="">
        <xdr:nvSpPr>
          <xdr:cNvPr id="57" name="步驟" descr="EXTRA CREDIT&#10;Try adding another SUMIF formula here, but add amounts that are less than 100. The result should be 160">
            <a:extLst>
              <a:ext uri="{FF2B5EF4-FFF2-40B4-BE49-F238E27FC236}">
                <a16:creationId xmlns:a16="http://schemas.microsoft.com/office/drawing/2014/main" id="{00000000-0008-0000-0100-000039000000}"/>
              </a:ext>
            </a:extLst>
          </xdr:cNvPr>
          <xdr:cNvSpPr txBox="1"/>
        </xdr:nvSpPr>
        <xdr:spPr>
          <a:xfrm>
            <a:off x="9648643" y="3895724"/>
            <a:ext cx="1562282"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試著在這裡加入另一個 SUMIF 公式，但新增</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少於 100</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的數量。結果應該會是 160。</a:t>
            </a:r>
          </a:p>
        </xdr:txBody>
      </xdr:sp>
      <xdr:pic>
        <xdr:nvPicPr>
          <xdr:cNvPr id="58" name="祕笈勳章" descr="裝飾勳章">
            <a:extLst>
              <a:ext uri="{FF2B5EF4-FFF2-40B4-BE49-F238E27FC236}">
                <a16:creationId xmlns:a16="http://schemas.microsoft.com/office/drawing/2014/main" id="{00000000-0008-0000-0100-00003A000000}"/>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328116" y="3950551"/>
            <a:ext cx="433272" cy="439736"/>
          </a:xfrm>
          <a:prstGeom prst="rect">
            <a:avLst/>
          </a:prstGeom>
        </xdr:spPr>
      </xdr:pic>
      <xdr:sp macro="" textlink="">
        <xdr:nvSpPr>
          <xdr:cNvPr id="59" name="祕笈箭號" descr="箭號">
            <a:extLst>
              <a:ext uri="{FF2B5EF4-FFF2-40B4-BE49-F238E27FC236}">
                <a16:creationId xmlns:a16="http://schemas.microsoft.com/office/drawing/2014/main" id="{00000000-0008-0000-0100-00003B000000}"/>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0</xdr:col>
      <xdr:colOff>326572</xdr:colOff>
      <xdr:row>0</xdr:row>
      <xdr:rowOff>266701</xdr:rowOff>
    </xdr:from>
    <xdr:to>
      <xdr:col>1</xdr:col>
      <xdr:colOff>5009697</xdr:colOff>
      <xdr:row>22</xdr:row>
      <xdr:rowOff>76201</xdr:rowOff>
    </xdr:to>
    <xdr:grpSp>
      <xdr:nvGrpSpPr>
        <xdr:cNvPr id="11" name="輕鬆將數值加總" descr="Add numbers like a champ &#10;Here are some ways to add up numbers in Excel: &#10;Select the yellow cell under the amounts for fruit. &#10;Type =SUM(D4:D7), and then press enter. When you're done, you'll see &#10;the result of 170. &#10;Here's another way to add, using a shortcut key. Select the yellow cell under the amounts for meat. &#10;Press Alt = first. Then, press Enter. &#10;Now add only the numbers over 50. Select the last yellow cell. Type =SUMIF(D11:D15,&quot;&gt;50&quot;)&#10;and then press Enter. The result is 100. &#10;Dive down for more detail &#10;Next step ">
          <a:extLst>
            <a:ext uri="{FF2B5EF4-FFF2-40B4-BE49-F238E27FC236}">
              <a16:creationId xmlns:a16="http://schemas.microsoft.com/office/drawing/2014/main" id="{00000000-0008-0000-0100-00000B000000}"/>
            </a:ext>
          </a:extLst>
        </xdr:cNvPr>
        <xdr:cNvGrpSpPr/>
      </xdr:nvGrpSpPr>
      <xdr:grpSpPr>
        <a:xfrm>
          <a:off x="326572" y="266701"/>
          <a:ext cx="5778500" cy="4572000"/>
          <a:chOff x="326572" y="266702"/>
          <a:chExt cx="5705475" cy="4657728"/>
        </a:xfrm>
      </xdr:grpSpPr>
      <xdr:grpSp>
        <xdr:nvGrpSpPr>
          <xdr:cNvPr id="16" name="新增數值指示">
            <a:extLst>
              <a:ext uri="{FF2B5EF4-FFF2-40B4-BE49-F238E27FC236}">
                <a16:creationId xmlns:a16="http://schemas.microsoft.com/office/drawing/2014/main" id="{00000000-0008-0000-0100-000010000000}"/>
              </a:ext>
            </a:extLst>
          </xdr:cNvPr>
          <xdr:cNvGrpSpPr/>
        </xdr:nvGrpSpPr>
        <xdr:grpSpPr>
          <a:xfrm>
            <a:off x="326572" y="266702"/>
            <a:ext cx="5705475" cy="4657728"/>
            <a:chOff x="0" y="0"/>
            <a:chExt cx="5695950" cy="4619625"/>
          </a:xfrm>
        </xdr:grpSpPr>
        <xdr:sp macro="" textlink="">
          <xdr:nvSpPr>
            <xdr:cNvPr id="38" name="背景​​" descr="背景​​">
              <a:extLst>
                <a:ext uri="{FF2B5EF4-FFF2-40B4-BE49-F238E27FC236}">
                  <a16:creationId xmlns:a16="http://schemas.microsoft.com/office/drawing/2014/main" id="{00000000-0008-0000-0100-000026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39" name="步驟" descr="輕鬆將數值加總">
              <a:extLst>
                <a:ext uri="{FF2B5EF4-FFF2-40B4-BE49-F238E27FC236}">
                  <a16:creationId xmlns:a16="http://schemas.microsoft.com/office/drawing/2014/main" id="{00000000-0008-0000-0100-000027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輕鬆將數值加總</a:t>
              </a:r>
            </a:p>
          </xdr:txBody>
        </xdr:sp>
        <xdr:sp macro="" textlink="">
          <xdr:nvSpPr>
            <xdr:cNvPr id="41" name="[更多詳細資料] 按鈕" descr="向下瀏覽以取得更多詳細資料">
              <a:hlinkClick xmlns:r="http://schemas.openxmlformats.org/officeDocument/2006/relationships" r:id="rId19"/>
              <a:extLst>
                <a:ext uri="{FF2B5EF4-FFF2-40B4-BE49-F238E27FC236}">
                  <a16:creationId xmlns:a16="http://schemas.microsoft.com/office/drawing/2014/main" id="{00000000-0008-0000-0100-000029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42" name="底部線條" descr="裝飾線條">
              <a:extLst>
                <a:ext uri="{FF2B5EF4-FFF2-40B4-BE49-F238E27FC236}">
                  <a16:creationId xmlns:a16="http://schemas.microsoft.com/office/drawing/2014/main" id="{00000000-0008-0000-0100-00002A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43" name="[下一步] 按鈕" descr="[下一個步驟] 按鈕，附有移至下一個工作表的超連結">
              <a:hlinkClick xmlns:r="http://schemas.openxmlformats.org/officeDocument/2006/relationships" r:id="rId3" tooltip="選取以移至下一步"/>
              <a:extLst>
                <a:ext uri="{FF2B5EF4-FFF2-40B4-BE49-F238E27FC236}">
                  <a16:creationId xmlns:a16="http://schemas.microsoft.com/office/drawing/2014/main" id="{00000000-0008-0000-0100-00002B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cxnSp macro="">
          <xdr:nvCxnSpPr>
            <xdr:cNvPr id="40" name="頂端線條" descr="裝飾線條">
              <a:extLst>
                <a:ext uri="{FF2B5EF4-FFF2-40B4-BE49-F238E27FC236}">
                  <a16:creationId xmlns:a16="http://schemas.microsoft.com/office/drawing/2014/main" id="{00000000-0008-0000-0100-000028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grpSp>
        <xdr:nvGrpSpPr>
          <xdr:cNvPr id="23" name="步驟5">
            <a:extLst>
              <a:ext uri="{FF2B5EF4-FFF2-40B4-BE49-F238E27FC236}">
                <a16:creationId xmlns:a16="http://schemas.microsoft.com/office/drawing/2014/main" id="{00000000-0008-0000-0100-000017000000}"/>
              </a:ext>
            </a:extLst>
          </xdr:cNvPr>
          <xdr:cNvGrpSpPr/>
        </xdr:nvGrpSpPr>
        <xdr:grpSpPr>
          <a:xfrm>
            <a:off x="558707" y="3254023"/>
            <a:ext cx="5225273" cy="608868"/>
            <a:chOff x="231749" y="2962882"/>
            <a:chExt cx="5216550" cy="603886"/>
          </a:xfrm>
        </xdr:grpSpPr>
        <xdr:sp macro="" textlink="">
          <xdr:nvSpPr>
            <xdr:cNvPr id="24" name="步驟" descr="現在僅新增大於 50 的數值。選取最後一個黃色儲存格。輸入 =SUMIF(D11:D15,&quot;&gt;50&quot;)，然後按 Enter。結果會是 100">
              <a:extLst>
                <a:ext uri="{FF2B5EF4-FFF2-40B4-BE49-F238E27FC236}">
                  <a16:creationId xmlns:a16="http://schemas.microsoft.com/office/drawing/2014/main" id="{00000000-0008-0000-0100-000018000000}"/>
                </a:ext>
              </a:extLst>
            </xdr:cNvPr>
            <xdr:cNvSpPr txBox="1"/>
          </xdr:nvSpPr>
          <xdr:spPr>
            <a:xfrm>
              <a:off x="638783" y="300538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現在僅新增大於</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50 的數值。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選取最後一個黃色儲存格，輸入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=SUMIF(D11:D15,"&gt;50")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。結果會是 100。 </a:t>
              </a:r>
            </a:p>
          </xdr:txBody>
        </xdr:sp>
        <xdr:sp macro="" textlink="">
          <xdr:nvSpPr>
            <xdr:cNvPr id="25" name="5" descr="5">
              <a:extLst>
                <a:ext uri="{FF2B5EF4-FFF2-40B4-BE49-F238E27FC236}">
                  <a16:creationId xmlns:a16="http://schemas.microsoft.com/office/drawing/2014/main" id="{00000000-0008-0000-0100-000019000000}"/>
                </a:ext>
              </a:extLst>
            </xdr:cNvPr>
            <xdr:cNvSpPr/>
          </xdr:nvSpPr>
          <xdr:spPr>
            <a:xfrm>
              <a:off x="231749" y="2962882"/>
              <a:ext cx="371587" cy="38193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grpSp>
        <xdr:nvGrpSpPr>
          <xdr:cNvPr id="22" name="步驟4">
            <a:extLst>
              <a:ext uri="{FF2B5EF4-FFF2-40B4-BE49-F238E27FC236}">
                <a16:creationId xmlns:a16="http://schemas.microsoft.com/office/drawing/2014/main" id="{00000000-0008-0000-0100-000016000000}"/>
              </a:ext>
            </a:extLst>
          </xdr:cNvPr>
          <xdr:cNvGrpSpPr/>
        </xdr:nvGrpSpPr>
        <xdr:grpSpPr>
          <a:xfrm>
            <a:off x="558707" y="2770783"/>
            <a:ext cx="5225273" cy="608867"/>
            <a:chOff x="231749" y="2483595"/>
            <a:chExt cx="5216550" cy="603885"/>
          </a:xfrm>
        </xdr:grpSpPr>
        <xdr:sp macro="" textlink="">
          <xdr:nvSpPr>
            <xdr:cNvPr id="26" name="4" descr="4">
              <a:extLst>
                <a:ext uri="{FF2B5EF4-FFF2-40B4-BE49-F238E27FC236}">
                  <a16:creationId xmlns:a16="http://schemas.microsoft.com/office/drawing/2014/main" id="{00000000-0008-0000-0100-00001A000000}"/>
                </a:ext>
              </a:extLst>
            </xdr:cNvPr>
            <xdr:cNvSpPr/>
          </xdr:nvSpPr>
          <xdr:spPr>
            <a:xfrm>
              <a:off x="231749" y="24835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nvGrpSpPr>
            <xdr:cNvPr id="27" name="群組 26">
              <a:extLst>
                <a:ext uri="{FF2B5EF4-FFF2-40B4-BE49-F238E27FC236}">
                  <a16:creationId xmlns:a16="http://schemas.microsoft.com/office/drawing/2014/main" id="{00000000-0008-0000-0100-00001B000000}"/>
                </a:ext>
              </a:extLst>
            </xdr:cNvPr>
            <xdr:cNvGrpSpPr/>
          </xdr:nvGrpSpPr>
          <xdr:grpSpPr>
            <a:xfrm>
              <a:off x="638783" y="2526093"/>
              <a:ext cx="4809516" cy="561387"/>
              <a:chOff x="638783" y="2526093"/>
              <a:chExt cx="4809516" cy="561387"/>
            </a:xfrm>
          </xdr:grpSpPr>
          <xdr:sp macro="" textlink="">
            <xdr:nvSpPr>
              <xdr:cNvPr id="28" name="步驟" descr="先按 Alt 和 =，然後按 Enter">
                <a:extLst>
                  <a:ext uri="{FF2B5EF4-FFF2-40B4-BE49-F238E27FC236}">
                    <a16:creationId xmlns:a16="http://schemas.microsoft.com/office/drawing/2014/main" id="{00000000-0008-0000-0100-00001C000000}"/>
                  </a:ext>
                </a:extLst>
              </xdr:cNvPr>
              <xdr:cNvSpPr txBox="1"/>
            </xdr:nvSpPr>
            <xdr:spPr>
              <a:xfrm>
                <a:off x="638783" y="25260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	       ，接著按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sp macro="" textlink="">
            <xdr:nvSpPr>
              <xdr:cNvPr id="30" name="等於鍵" descr="等於鍵">
                <a:extLst>
                  <a:ext uri="{FF2B5EF4-FFF2-40B4-BE49-F238E27FC236}">
                    <a16:creationId xmlns:a16="http://schemas.microsoft.com/office/drawing/2014/main" id="{00000000-0008-0000-0100-00001E000000}"/>
                  </a:ext>
                </a:extLst>
              </xdr:cNvPr>
              <xdr:cNvSpPr/>
            </xdr:nvSpPr>
            <xdr:spPr>
              <a:xfrm>
                <a:off x="1428462" y="2528884"/>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000">
                    <a:solidFill>
                      <a:schemeClr val="tx1"/>
                    </a:solidFill>
                    <a:latin typeface="Microsoft JhengHei UI" panose="020B0604030504040204" pitchFamily="34" charset="-120"/>
                    <a:ea typeface="Microsoft JhengHei UI" panose="020B0604030504040204" pitchFamily="34" charset="-120"/>
                  </a:rPr>
                  <a:t>=</a:t>
                </a:r>
                <a:endParaRPr lang="en-US" sz="900">
                  <a:solidFill>
                    <a:schemeClr val="tx1"/>
                  </a:solidFill>
                  <a:latin typeface="Microsoft JhengHei UI" panose="020B0604030504040204" pitchFamily="34" charset="-120"/>
                  <a:ea typeface="Microsoft JhengHei UI" panose="020B0604030504040204" pitchFamily="34" charset="-120"/>
                </a:endParaRPr>
              </a:p>
            </xdr:txBody>
          </xdr:sp>
          <xdr:sp macro="" textlink="">
            <xdr:nvSpPr>
              <xdr:cNvPr id="29" name="Alt 鍵" descr="Alt 鍵">
                <a:extLst>
                  <a:ext uri="{FF2B5EF4-FFF2-40B4-BE49-F238E27FC236}">
                    <a16:creationId xmlns:a16="http://schemas.microsoft.com/office/drawing/2014/main" id="{00000000-0008-0000-0100-00001D000000}"/>
                  </a:ext>
                </a:extLst>
              </xdr:cNvPr>
              <xdr:cNvSpPr/>
            </xdr:nvSpPr>
            <xdr:spPr>
              <a:xfrm>
                <a:off x="936646" y="252888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rPr>
                  <a:t>Alt</a:t>
                </a:r>
                <a:endParaRPr lang="en-US" sz="800" spc="100" baseline="0">
                  <a:solidFill>
                    <a:schemeClr val="tx1"/>
                  </a:solidFill>
                  <a:latin typeface="Microsoft JhengHei UI" panose="020B0604030504040204" pitchFamily="34" charset="-120"/>
                  <a:ea typeface="Microsoft JhengHei UI" panose="020B0604030504040204" pitchFamily="34" charset="-120"/>
                </a:endParaRPr>
              </a:p>
            </xdr:txBody>
          </xdr:sp>
        </xdr:grpSp>
      </xdr:grpSp>
      <xdr:grpSp>
        <xdr:nvGrpSpPr>
          <xdr:cNvPr id="21" name="步驟3">
            <a:extLst>
              <a:ext uri="{FF2B5EF4-FFF2-40B4-BE49-F238E27FC236}">
                <a16:creationId xmlns:a16="http://schemas.microsoft.com/office/drawing/2014/main" id="{00000000-0008-0000-0100-000015000000}"/>
              </a:ext>
            </a:extLst>
          </xdr:cNvPr>
          <xdr:cNvGrpSpPr/>
        </xdr:nvGrpSpPr>
        <xdr:grpSpPr>
          <a:xfrm>
            <a:off x="558707" y="2277525"/>
            <a:ext cx="5225273" cy="608867"/>
            <a:chOff x="231749" y="1994372"/>
            <a:chExt cx="5216550" cy="603885"/>
          </a:xfrm>
        </xdr:grpSpPr>
        <xdr:sp macro="" textlink="">
          <xdr:nvSpPr>
            <xdr:cNvPr id="32" name="步驟" descr="您也可以使用快速鍵來新增數值。選取肉品數量底下的黃色儲存格">
              <a:extLst>
                <a:ext uri="{FF2B5EF4-FFF2-40B4-BE49-F238E27FC236}">
                  <a16:creationId xmlns:a16="http://schemas.microsoft.com/office/drawing/2014/main" id="{00000000-0008-0000-0100-000020000000}"/>
                </a:ext>
              </a:extLst>
            </xdr:cNvPr>
            <xdr:cNvSpPr txBox="1"/>
          </xdr:nvSpPr>
          <xdr:spPr>
            <a:xfrm>
              <a:off x="638783" y="2036870"/>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您也可以使用快速鍵來新增數值。選取肉品數量底下的黃色儲存格。 </a:t>
              </a:r>
            </a:p>
          </xdr:txBody>
        </xdr:sp>
        <xdr:sp macro="" textlink="">
          <xdr:nvSpPr>
            <xdr:cNvPr id="33" name="3" descr="3">
              <a:extLst>
                <a:ext uri="{FF2B5EF4-FFF2-40B4-BE49-F238E27FC236}">
                  <a16:creationId xmlns:a16="http://schemas.microsoft.com/office/drawing/2014/main" id="{00000000-0008-0000-0100-000021000000}"/>
                </a:ext>
              </a:extLst>
            </xdr:cNvPr>
            <xdr:cNvSpPr/>
          </xdr:nvSpPr>
          <xdr:spPr>
            <a:xfrm>
              <a:off x="231749" y="19943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grpSp>
      <xdr:grpSp>
        <xdr:nvGrpSpPr>
          <xdr:cNvPr id="20" name="步驟2">
            <a:extLst>
              <a:ext uri="{FF2B5EF4-FFF2-40B4-BE49-F238E27FC236}">
                <a16:creationId xmlns:a16="http://schemas.microsoft.com/office/drawing/2014/main" id="{00000000-0008-0000-0100-000014000000}"/>
              </a:ext>
            </a:extLst>
          </xdr:cNvPr>
          <xdr:cNvGrpSpPr/>
        </xdr:nvGrpSpPr>
        <xdr:grpSpPr>
          <a:xfrm>
            <a:off x="558707" y="1769250"/>
            <a:ext cx="5225273" cy="608867"/>
            <a:chOff x="231749" y="1490256"/>
            <a:chExt cx="5216550" cy="603885"/>
          </a:xfrm>
        </xdr:grpSpPr>
        <xdr:sp macro="" textlink="">
          <xdr:nvSpPr>
            <xdr:cNvPr id="34" name="步驟" descr="輸入 = SUM(D4:D7)，然後再按 Enter。完成後，就會看到結果為 170。">
              <a:extLst>
                <a:ext uri="{FF2B5EF4-FFF2-40B4-BE49-F238E27FC236}">
                  <a16:creationId xmlns:a16="http://schemas.microsoft.com/office/drawing/2014/main" id="{00000000-0008-0000-0100-000022000000}"/>
                </a:ext>
              </a:extLst>
            </xdr:cNvPr>
            <xdr:cNvSpPr txBox="1"/>
          </xdr:nvSpPr>
          <xdr:spPr>
            <a:xfrm>
              <a:off x="638782" y="1532754"/>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=SUM(D4:D7)</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Enter。完成後，您會看到結果會是 170。</a:t>
              </a:r>
            </a:p>
          </xdr:txBody>
        </xdr:sp>
        <xdr:sp macro="" textlink="">
          <xdr:nvSpPr>
            <xdr:cNvPr id="35" name="2" descr="2">
              <a:extLst>
                <a:ext uri="{FF2B5EF4-FFF2-40B4-BE49-F238E27FC236}">
                  <a16:creationId xmlns:a16="http://schemas.microsoft.com/office/drawing/2014/main" id="{00000000-0008-0000-0100-000023000000}"/>
                </a:ext>
              </a:extLst>
            </xdr:cNvPr>
            <xdr:cNvSpPr/>
          </xdr:nvSpPr>
          <xdr:spPr>
            <a:xfrm>
              <a:off x="231749" y="14902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grpSp>
        <xdr:nvGrpSpPr>
          <xdr:cNvPr id="19" name="步驟1">
            <a:extLst>
              <a:ext uri="{FF2B5EF4-FFF2-40B4-BE49-F238E27FC236}">
                <a16:creationId xmlns:a16="http://schemas.microsoft.com/office/drawing/2014/main" id="{00000000-0008-0000-0100-000013000000}"/>
              </a:ext>
            </a:extLst>
          </xdr:cNvPr>
          <xdr:cNvGrpSpPr/>
        </xdr:nvGrpSpPr>
        <xdr:grpSpPr>
          <a:xfrm>
            <a:off x="558707" y="1278313"/>
            <a:ext cx="5225273" cy="608867"/>
            <a:chOff x="231749" y="1003336"/>
            <a:chExt cx="5216550" cy="603885"/>
          </a:xfrm>
        </xdr:grpSpPr>
        <xdr:sp macro="" textlink="">
          <xdr:nvSpPr>
            <xdr:cNvPr id="36" name="步驟" descr="選取水果數量底下的黃色儲存格">
              <a:extLst>
                <a:ext uri="{FF2B5EF4-FFF2-40B4-BE49-F238E27FC236}">
                  <a16:creationId xmlns:a16="http://schemas.microsoft.com/office/drawing/2014/main" id="{00000000-0008-0000-0100-000024000000}"/>
                </a:ext>
              </a:extLst>
            </xdr:cNvPr>
            <xdr:cNvSpPr txBox="1"/>
          </xdr:nvSpPr>
          <xdr:spPr>
            <a:xfrm>
              <a:off x="638783"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選取水果數量底下的黃色儲存格。</a:t>
              </a:r>
            </a:p>
          </xdr:txBody>
        </xdr:sp>
        <xdr:sp macro="" textlink="">
          <xdr:nvSpPr>
            <xdr:cNvPr id="37" name="1" descr="1">
              <a:extLst>
                <a:ext uri="{FF2B5EF4-FFF2-40B4-BE49-F238E27FC236}">
                  <a16:creationId xmlns:a16="http://schemas.microsoft.com/office/drawing/2014/main" id="{00000000-0008-0000-0100-000025000000}"/>
                </a:ext>
              </a:extLst>
            </xdr:cNvPr>
            <xdr:cNvSpPr/>
          </xdr:nvSpPr>
          <xdr:spPr>
            <a:xfrm>
              <a:off x="23174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grpSp>
      <xdr:sp macro="" textlink="">
        <xdr:nvSpPr>
          <xdr:cNvPr id="18" name="新增數值簡介" descr="以下是幾種在 Excel 中將數值加總的方法：">
            <a:extLst>
              <a:ext uri="{FF2B5EF4-FFF2-40B4-BE49-F238E27FC236}">
                <a16:creationId xmlns:a16="http://schemas.microsoft.com/office/drawing/2014/main" id="{00000000-0008-0000-0100-000012000000}"/>
              </a:ext>
            </a:extLst>
          </xdr:cNvPr>
          <xdr:cNvSpPr txBox="1"/>
        </xdr:nvSpPr>
        <xdr:spPr>
          <a:xfrm>
            <a:off x="555554" y="972193"/>
            <a:ext cx="5309802" cy="2548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以下是幾種在 Excel 中將數值加總的方法：</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298674</xdr:colOff>
      <xdr:row>0</xdr:row>
      <xdr:rowOff>253094</xdr:rowOff>
    </xdr:from>
    <xdr:to>
      <xdr:col>1</xdr:col>
      <xdr:colOff>4981799</xdr:colOff>
      <xdr:row>22</xdr:row>
      <xdr:rowOff>108213</xdr:rowOff>
    </xdr:to>
    <xdr:grpSp>
      <xdr:nvGrpSpPr>
        <xdr:cNvPr id="113" name="自動填滿儲存格以節省時間" descr="Save time by filling cells automatically&#10;Here’s how to use the fill handle in Excel:&#10;Click the cell with the number 100.&#10;Rest your cursor on the lower-right corner of the cell until &#10;it becomes a cross:&#10;Click the cross and drag down three cells. Excel will automatically fill the cells with the totals: 110, 120, and 130. People call this “filling down.”&#10;Select the yellow cell with 200, and fill again but this time drag the fill handle to the right to fill the cells. This is known as “filling right.&quot;&#10;Dive down for more detail &#10;Next step">
          <a:extLst>
            <a:ext uri="{FF2B5EF4-FFF2-40B4-BE49-F238E27FC236}">
              <a16:creationId xmlns:a16="http://schemas.microsoft.com/office/drawing/2014/main" id="{00000000-0008-0000-0200-000071000000}"/>
            </a:ext>
          </a:extLst>
        </xdr:cNvPr>
        <xdr:cNvGrpSpPr/>
      </xdr:nvGrpSpPr>
      <xdr:grpSpPr>
        <a:xfrm>
          <a:off x="298674" y="253094"/>
          <a:ext cx="5778500" cy="4617619"/>
          <a:chOff x="11496675" y="857250"/>
          <a:chExt cx="5695950" cy="4619625"/>
        </a:xfrm>
      </xdr:grpSpPr>
      <xdr:sp macro="" textlink="">
        <xdr:nvSpPr>
          <xdr:cNvPr id="97" name="矩形 96" descr="背景">
            <a:extLst>
              <a:ext uri="{FF2B5EF4-FFF2-40B4-BE49-F238E27FC236}">
                <a16:creationId xmlns:a16="http://schemas.microsoft.com/office/drawing/2014/main" id="{00000000-0008-0000-0200-000061000000}"/>
              </a:ext>
            </a:extLst>
          </xdr:cNvPr>
          <xdr:cNvSpPr/>
        </xdr:nvSpPr>
        <xdr:spPr>
          <a:xfrm>
            <a:off x="11496675" y="8572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8" name="步驟" descr="自動填滿儲存格以節省時間">
            <a:extLst>
              <a:ext uri="{FF2B5EF4-FFF2-40B4-BE49-F238E27FC236}">
                <a16:creationId xmlns:a16="http://schemas.microsoft.com/office/drawing/2014/main" id="{00000000-0008-0000-0200-000062000000}"/>
              </a:ext>
            </a:extLst>
          </xdr:cNvPr>
          <xdr:cNvSpPr txBox="1"/>
        </xdr:nvSpPr>
        <xdr:spPr>
          <a:xfrm>
            <a:off x="11728423" y="9854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自動填滿儲存格以節省時間</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9" name="直線接點 98" descr="裝飾線條">
            <a:extLst>
              <a:ext uri="{FF2B5EF4-FFF2-40B4-BE49-F238E27FC236}">
                <a16:creationId xmlns:a16="http://schemas.microsoft.com/office/drawing/2014/main" id="{00000000-0008-0000-0200-000063000000}"/>
              </a:ext>
            </a:extLst>
          </xdr:cNvPr>
          <xdr:cNvCxnSpPr>
            <a:cxnSpLocks/>
          </xdr:cNvCxnSpPr>
        </xdr:nvCxnSpPr>
        <xdr:spPr>
          <a:xfrm>
            <a:off x="11731599" y="14928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200-000064000000}"/>
              </a:ext>
            </a:extLst>
          </xdr:cNvPr>
          <xdr:cNvSpPr/>
        </xdr:nvSpPr>
        <xdr:spPr>
          <a:xfrm>
            <a:off x="11731599" y="47092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101" name="直線接點 100" descr="裝飾線條">
            <a:extLst>
              <a:ext uri="{FF2B5EF4-FFF2-40B4-BE49-F238E27FC236}">
                <a16:creationId xmlns:a16="http://schemas.microsoft.com/office/drawing/2014/main" id="{00000000-0008-0000-0200-000065000000}"/>
              </a:ext>
            </a:extLst>
          </xdr:cNvPr>
          <xdr:cNvCxnSpPr>
            <a:cxnSpLocks/>
          </xdr:cNvCxnSpPr>
        </xdr:nvCxnSpPr>
        <xdr:spPr>
          <a:xfrm>
            <a:off x="11731599" y="44481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2"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200-000066000000}"/>
              </a:ext>
            </a:extLst>
          </xdr:cNvPr>
          <xdr:cNvSpPr/>
        </xdr:nvSpPr>
        <xdr:spPr>
          <a:xfrm>
            <a:off x="15790545" y="47092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3" name="步驟" descr="以下說明如何使用 Excel 中的填滿控點：">
            <a:extLst>
              <a:ext uri="{FF2B5EF4-FFF2-40B4-BE49-F238E27FC236}">
                <a16:creationId xmlns:a16="http://schemas.microsoft.com/office/drawing/2014/main" id="{00000000-0008-0000-0200-000067000000}"/>
              </a:ext>
            </a:extLst>
          </xdr:cNvPr>
          <xdr:cNvSpPr txBox="1"/>
        </xdr:nvSpPr>
        <xdr:spPr>
          <a:xfrm>
            <a:off x="11725275" y="1566496"/>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以下說明如何使用 Excel 中的填滿控點：</a:t>
            </a:r>
          </a:p>
        </xdr:txBody>
      </xdr:sp>
      <xdr:sp macro="" textlink="">
        <xdr:nvSpPr>
          <xdr:cNvPr id="104" name="步驟" descr="按一下包含數值 100 的儲存格">
            <a:extLst>
              <a:ext uri="{FF2B5EF4-FFF2-40B4-BE49-F238E27FC236}">
                <a16:creationId xmlns:a16="http://schemas.microsoft.com/office/drawing/2014/main" id="{00000000-0008-0000-0200-000068000000}"/>
              </a:ext>
            </a:extLst>
          </xdr:cNvPr>
          <xdr:cNvSpPr txBox="1"/>
        </xdr:nvSpPr>
        <xdr:spPr>
          <a:xfrm>
            <a:off x="12135458" y="191260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按一下包含數值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100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的儲存格。</a:t>
            </a:r>
          </a:p>
        </xdr:txBody>
      </xdr:sp>
      <xdr:sp macro="" textlink="">
        <xdr:nvSpPr>
          <xdr:cNvPr id="105" name="橢圓​​ 104" descr="1">
            <a:extLst>
              <a:ext uri="{FF2B5EF4-FFF2-40B4-BE49-F238E27FC236}">
                <a16:creationId xmlns:a16="http://schemas.microsoft.com/office/drawing/2014/main" id="{00000000-0008-0000-0200-000069000000}"/>
              </a:ext>
            </a:extLst>
          </xdr:cNvPr>
          <xdr:cNvSpPr/>
        </xdr:nvSpPr>
        <xdr:spPr>
          <a:xfrm>
            <a:off x="11728424" y="18701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6" name="步驟" descr="Rest your cursor on the lower-right corner of the cell until &#10;it becomes a cross:">
            <a:extLst>
              <a:ext uri="{FF2B5EF4-FFF2-40B4-BE49-F238E27FC236}">
                <a16:creationId xmlns:a16="http://schemas.microsoft.com/office/drawing/2014/main" id="{00000000-0008-0000-0200-00006A000000}"/>
              </a:ext>
            </a:extLst>
          </xdr:cNvPr>
          <xdr:cNvSpPr txBox="1"/>
        </xdr:nvSpPr>
        <xdr:spPr>
          <a:xfrm>
            <a:off x="12135457" y="2399529"/>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 直到游標變成十字形：</a:t>
            </a:r>
          </a:p>
        </xdr:txBody>
      </xdr:sp>
      <xdr:sp macro="" textlink="">
        <xdr:nvSpPr>
          <xdr:cNvPr id="107" name="橢圓​​ 106" descr="2">
            <a:extLst>
              <a:ext uri="{FF2B5EF4-FFF2-40B4-BE49-F238E27FC236}">
                <a16:creationId xmlns:a16="http://schemas.microsoft.com/office/drawing/2014/main" id="{00000000-0008-0000-0200-00006B000000}"/>
              </a:ext>
            </a:extLst>
          </xdr:cNvPr>
          <xdr:cNvSpPr/>
        </xdr:nvSpPr>
        <xdr:spPr>
          <a:xfrm>
            <a:off x="11728424" y="235703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8" name="步驟" descr="按一下十字形，然後向下拖曳三個儲存格。Excel 會自動將下列加總結果填入儲存格：110、120 和 130。這稱為「向下填滿」&#10;">
            <a:extLst>
              <a:ext uri="{FF2B5EF4-FFF2-40B4-BE49-F238E27FC236}">
                <a16:creationId xmlns:a16="http://schemas.microsoft.com/office/drawing/2014/main" id="{00000000-0008-0000-0200-00006C000000}"/>
              </a:ext>
            </a:extLst>
          </xdr:cNvPr>
          <xdr:cNvSpPr txBox="1"/>
        </xdr:nvSpPr>
        <xdr:spPr>
          <a:xfrm>
            <a:off x="12135458" y="3057719"/>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按一下十字形，然後向下拖曳三個儲存格。Excel 會自動將下列加總結果填入儲存格：</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110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120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和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130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。這稱為「向下填滿」。</a:t>
            </a:r>
          </a:p>
        </xdr:txBody>
      </xdr:sp>
      <xdr:sp macro="" textlink="">
        <xdr:nvSpPr>
          <xdr:cNvPr id="109" name="橢圓​​ 108" descr="3">
            <a:extLst>
              <a:ext uri="{FF2B5EF4-FFF2-40B4-BE49-F238E27FC236}">
                <a16:creationId xmlns:a16="http://schemas.microsoft.com/office/drawing/2014/main" id="{00000000-0008-0000-0200-00006D000000}"/>
              </a:ext>
            </a:extLst>
          </xdr:cNvPr>
          <xdr:cNvSpPr/>
        </xdr:nvSpPr>
        <xdr:spPr>
          <a:xfrm>
            <a:off x="11728424" y="30152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選取包含數值 200 的黃色儲存格，然後再次填滿，但這次將填滿控點拖曳到右側以填滿儲存格。這稱為「向右填滿」">
            <a:extLst>
              <a:ext uri="{FF2B5EF4-FFF2-40B4-BE49-F238E27FC236}">
                <a16:creationId xmlns:a16="http://schemas.microsoft.com/office/drawing/2014/main" id="{00000000-0008-0000-0200-00006E000000}"/>
              </a:ext>
            </a:extLst>
          </xdr:cNvPr>
          <xdr:cNvSpPr txBox="1"/>
        </xdr:nvSpPr>
        <xdr:spPr>
          <a:xfrm>
            <a:off x="12135458" y="364407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選取包含數值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200</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的黃色儲存格，然後再次填滿，但這次將填滿控點拖曳到</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a:t>
            </a:r>
            <a:r>
              <a:rPr lang="zh-tw" sz="1100" i="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以填滿儲存格</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這稱為「向右填滿」。</a:t>
            </a:r>
            <a:endParaRPr kumimoji="0" lang="en-US"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1" name="橢圓​​ 110" descr="4">
            <a:extLst>
              <a:ext uri="{FF2B5EF4-FFF2-40B4-BE49-F238E27FC236}">
                <a16:creationId xmlns:a16="http://schemas.microsoft.com/office/drawing/2014/main" id="{00000000-0008-0000-0200-00006F000000}"/>
              </a:ext>
            </a:extLst>
          </xdr:cNvPr>
          <xdr:cNvSpPr/>
        </xdr:nvSpPr>
        <xdr:spPr>
          <a:xfrm>
            <a:off x="11728424" y="360157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7</xdr:col>
      <xdr:colOff>27070</xdr:colOff>
      <xdr:row>3</xdr:row>
      <xdr:rowOff>0</xdr:rowOff>
    </xdr:from>
    <xdr:to>
      <xdr:col>9</xdr:col>
      <xdr:colOff>749300</xdr:colOff>
      <xdr:row>12</xdr:row>
      <xdr:rowOff>55145</xdr:rowOff>
    </xdr:to>
    <xdr:grpSp>
      <xdr:nvGrpSpPr>
        <xdr:cNvPr id="9" name="群組 8" descr="EXTRA CREDIT&#10;Click and drag to select these four cells, and then press CTRL+D. That's the shortcut key for filling down. Can you guess what the shortcut for filling right is? &#10;">
          <a:extLst>
            <a:ext uri="{FF2B5EF4-FFF2-40B4-BE49-F238E27FC236}">
              <a16:creationId xmlns:a16="http://schemas.microsoft.com/office/drawing/2014/main" id="{57EAD499-47B6-45F6-BD42-53FFC059531B}"/>
            </a:ext>
          </a:extLst>
        </xdr:cNvPr>
        <xdr:cNvGrpSpPr/>
      </xdr:nvGrpSpPr>
      <xdr:grpSpPr>
        <a:xfrm>
          <a:off x="10618870" y="1143000"/>
          <a:ext cx="2246230" cy="1769645"/>
          <a:chOff x="9304420" y="1209675"/>
          <a:chExt cx="2049380" cy="1769645"/>
        </a:xfrm>
      </xdr:grpSpPr>
      <xdr:grpSp>
        <xdr:nvGrpSpPr>
          <xdr:cNvPr id="117" name="群組 116" descr="括號行">
            <a:extLst>
              <a:ext uri="{FF2B5EF4-FFF2-40B4-BE49-F238E27FC236}">
                <a16:creationId xmlns:a16="http://schemas.microsoft.com/office/drawing/2014/main" id="{00000000-0008-0000-0200-000075000000}"/>
              </a:ext>
            </a:extLst>
          </xdr:cNvPr>
          <xdr:cNvGrpSpPr/>
        </xdr:nvGrpSpPr>
        <xdr:grpSpPr>
          <a:xfrm rot="599914">
            <a:off x="9304420" y="1235818"/>
            <a:ext cx="281570" cy="779592"/>
            <a:chOff x="9871108" y="1184220"/>
            <a:chExt cx="273326" cy="789155"/>
          </a:xfrm>
        </xdr:grpSpPr>
        <xdr:sp macro="" textlink="">
          <xdr:nvSpPr>
            <xdr:cNvPr id="118" name="手繪多邊形：圖案 117" descr="括號行">
              <a:extLst>
                <a:ext uri="{FF2B5EF4-FFF2-40B4-BE49-F238E27FC236}">
                  <a16:creationId xmlns:a16="http://schemas.microsoft.com/office/drawing/2014/main" id="{00000000-0008-0000-0200-000076000000}"/>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9" name="手繪多邊形：圖案 118" descr="括號行">
              <a:extLst>
                <a:ext uri="{FF2B5EF4-FFF2-40B4-BE49-F238E27FC236}">
                  <a16:creationId xmlns:a16="http://schemas.microsoft.com/office/drawing/2014/main" id="{00000000-0008-0000-0200-000077000000}"/>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sp macro="" textlink="">
        <xdr:nvSpPr>
          <xdr:cNvPr id="121" name="步驟" descr="EXTRA CREDIT&#10;Click and drag to select these four cells, and then press CTRL+D. That's the shortcut key for filling down. Can you guess what the shortcut for filling right is? ">
            <a:extLst>
              <a:ext uri="{FF2B5EF4-FFF2-40B4-BE49-F238E27FC236}">
                <a16:creationId xmlns:a16="http://schemas.microsoft.com/office/drawing/2014/main" id="{00000000-0008-0000-0200-000079000000}"/>
              </a:ext>
            </a:extLst>
          </xdr:cNvPr>
          <xdr:cNvSpPr txBox="1"/>
        </xdr:nvSpPr>
        <xdr:spPr>
          <a:xfrm>
            <a:off x="9923106" y="1209675"/>
            <a:ext cx="1430694" cy="17696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按一下並拖曳來選取這四個儲存格，然後按 CTRL+D。此為向下填滿的快速鍵。您猜得到向右填滿的快速鍵是什麼嗎</a:t>
            </a:r>
            <a:r>
              <a:rPr lang="zh-tw" sz="1100" b="0" i="1" kern="1200" baseline="0">
                <a:solidFill>
                  <a:schemeClr val="dk1"/>
                </a:solidFill>
                <a:effectLst/>
                <a:latin typeface="Microsoft JhengHei UI" panose="020B0604030504040204" pitchFamily="34" charset="-120"/>
                <a:ea typeface="Microsoft JhengHei UI" panose="020B0604030504040204" pitchFamily="34" charset="-120"/>
                <a:cs typeface="+mn-cs"/>
              </a:rPr>
              <a:t>？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22" name="圖形 263" descr="綵帶">
            <a:extLst>
              <a:ext uri="{FF2B5EF4-FFF2-40B4-BE49-F238E27FC236}">
                <a16:creationId xmlns:a16="http://schemas.microsoft.com/office/drawing/2014/main" id="{00000000-0008-0000-0200-00007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609953" y="1264439"/>
            <a:ext cx="425246" cy="439238"/>
          </a:xfrm>
          <a:prstGeom prst="rect">
            <a:avLst/>
          </a:prstGeom>
        </xdr:spPr>
      </xdr:pic>
    </xdr:grpSp>
    <xdr:clientData/>
  </xdr:twoCellAnchor>
  <xdr:twoCellAnchor editAs="oneCell">
    <xdr:from>
      <xdr:col>0</xdr:col>
      <xdr:colOff>394917</xdr:colOff>
      <xdr:row>24</xdr:row>
      <xdr:rowOff>171451</xdr:rowOff>
    </xdr:from>
    <xdr:to>
      <xdr:col>1</xdr:col>
      <xdr:colOff>5078042</xdr:colOff>
      <xdr:row>40</xdr:row>
      <xdr:rowOff>2707</xdr:rowOff>
    </xdr:to>
    <xdr:grpSp>
      <xdr:nvGrpSpPr>
        <xdr:cNvPr id="114" name="使用填滿控點來複製儲存格" descr="Use the fill handle to copy cells&#10;Sometimes you don't need the numbers to change as you fill. Instead, you just want to copy values to other adjacent cells. Here's how to do that:&#10;Click the cell with the word Produce. Rest your cursor on the lower-right corner of the cell until it becomes a cross, then drag down three cells.&#10;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72000000}"/>
            </a:ext>
          </a:extLst>
        </xdr:cNvPr>
        <xdr:cNvGrpSpPr/>
      </xdr:nvGrpSpPr>
      <xdr:grpSpPr>
        <a:xfrm>
          <a:off x="394917" y="5314951"/>
          <a:ext cx="5778500" cy="2879256"/>
          <a:chOff x="0" y="-177897"/>
          <a:chExt cx="5695950" cy="2873474"/>
        </a:xfrm>
      </xdr:grpSpPr>
      <xdr:sp macro="" textlink="">
        <xdr:nvSpPr>
          <xdr:cNvPr id="115" name="矩形 114" descr="背景">
            <a:extLst>
              <a:ext uri="{FF2B5EF4-FFF2-40B4-BE49-F238E27FC236}">
                <a16:creationId xmlns:a16="http://schemas.microsoft.com/office/drawing/2014/main" id="{00000000-0008-0000-0200-000073000000}"/>
              </a:ext>
            </a:extLst>
          </xdr:cNvPr>
          <xdr:cNvSpPr/>
        </xdr:nvSpPr>
        <xdr:spPr>
          <a:xfrm>
            <a:off x="0" y="-177897"/>
            <a:ext cx="5695950" cy="28734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16" name="步驟" descr="使用填滿控點來複製儲存格">
            <a:extLst>
              <a:ext uri="{FF2B5EF4-FFF2-40B4-BE49-F238E27FC236}">
                <a16:creationId xmlns:a16="http://schemas.microsoft.com/office/drawing/2014/main" id="{00000000-0008-0000-0200-000074000000}"/>
              </a:ext>
            </a:extLst>
          </xdr:cNvPr>
          <xdr:cNvSpPr txBox="1"/>
        </xdr:nvSpPr>
        <xdr:spPr>
          <a:xfrm>
            <a:off x="231748" y="-4290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使用填滿控點來複製儲存格</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3" name="直線接點 122" descr="裝飾線條">
            <a:extLst>
              <a:ext uri="{FF2B5EF4-FFF2-40B4-BE49-F238E27FC236}">
                <a16:creationId xmlns:a16="http://schemas.microsoft.com/office/drawing/2014/main" id="{00000000-0008-0000-0200-00007B000000}"/>
              </a:ext>
            </a:extLst>
          </xdr:cNvPr>
          <xdr:cNvCxnSpPr>
            <a:cxnSpLocks/>
          </xdr:cNvCxnSpPr>
        </xdr:nvCxnSpPr>
        <xdr:spPr>
          <a:xfrm>
            <a:off x="234924" y="4645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200-00007C000000}"/>
              </a:ext>
            </a:extLst>
          </xdr:cNvPr>
          <xdr:cNvCxnSpPr>
            <a:cxnSpLocks/>
          </xdr:cNvCxnSpPr>
        </xdr:nvCxnSpPr>
        <xdr:spPr>
          <a:xfrm>
            <a:off x="234924" y="24669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步驟" descr="有時候，您不希望數值在您填滿時變更。相反地，您只想將值複製到其他相鄰的儲存格。以下說明如何操作：">
            <a:extLst>
              <a:ext uri="{FF2B5EF4-FFF2-40B4-BE49-F238E27FC236}">
                <a16:creationId xmlns:a16="http://schemas.microsoft.com/office/drawing/2014/main" id="{00000000-0008-0000-0200-00007D000000}"/>
              </a:ext>
            </a:extLst>
          </xdr:cNvPr>
          <xdr:cNvSpPr txBox="1"/>
        </xdr:nvSpPr>
        <xdr:spPr>
          <a:xfrm>
            <a:off x="228600" y="538121"/>
            <a:ext cx="5300938"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有時候，您不希望數值在您填滿時變更。相反地，您只想將值複製到其他相鄰的儲存格。以下說明如何操作：</a:t>
            </a:r>
          </a:p>
        </xdr:txBody>
      </xdr:sp>
      <xdr:sp macro="" textlink="">
        <xdr:nvSpPr>
          <xdr:cNvPr id="126" name="步驟" descr="按一下包含 [農產品] 文字的儲存格。將游標移到儲存格的右下角，直到游標變成十字形，然後向下拖曳三個儲存格">
            <a:extLst>
              <a:ext uri="{FF2B5EF4-FFF2-40B4-BE49-F238E27FC236}">
                <a16:creationId xmlns:a16="http://schemas.microsoft.com/office/drawing/2014/main" id="{00000000-0008-0000-0200-00007E000000}"/>
              </a:ext>
            </a:extLst>
          </xdr:cNvPr>
          <xdr:cNvSpPr txBox="1"/>
        </xdr:nvSpPr>
        <xdr:spPr>
          <a:xfrm>
            <a:off x="638783" y="114092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將游標移到儲存格的右下角，直到游標變成十字形，然後向下拖曳三個儲存格。</a:t>
            </a:r>
          </a:p>
        </xdr:txBody>
      </xdr:sp>
      <xdr:sp macro="" textlink="">
        <xdr:nvSpPr>
          <xdr:cNvPr id="127" name="橢圓​​ 126" descr="1">
            <a:extLst>
              <a:ext uri="{FF2B5EF4-FFF2-40B4-BE49-F238E27FC236}">
                <a16:creationId xmlns:a16="http://schemas.microsoft.com/office/drawing/2014/main" id="{00000000-0008-0000-0200-00007F000000}"/>
              </a:ext>
            </a:extLst>
          </xdr:cNvPr>
          <xdr:cNvSpPr/>
        </xdr:nvSpPr>
        <xdr:spPr>
          <a:xfrm>
            <a:off x="231749" y="10984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8" name="步驟" descr="Now select the cell with the word Fruit. Rest your cursor on the lower- right corner again, and when you get the cross, double-click.  That's another way to fill down in case you ever need to fill a long column">
            <a:extLst>
              <a:ext uri="{FF2B5EF4-FFF2-40B4-BE49-F238E27FC236}">
                <a16:creationId xmlns:a16="http://schemas.microsoft.com/office/drawing/2014/main" id="{00000000-0008-0000-0200-000080000000}"/>
              </a:ext>
            </a:extLst>
          </xdr:cNvPr>
          <xdr:cNvSpPr txBox="1"/>
        </xdr:nvSpPr>
        <xdr:spPr>
          <a:xfrm>
            <a:off x="638782" y="1656233"/>
            <a:ext cx="4809517" cy="6564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現在，選取包含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[水果]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再次將游標移到儲存格的右下角，然後在游標變成十字形時按兩下。還有一種適用於您需要填滿很長的欄時的向下填滿方法。 </a:t>
            </a:r>
          </a:p>
        </xdr:txBody>
      </xdr:sp>
      <xdr:sp macro="" textlink="">
        <xdr:nvSpPr>
          <xdr:cNvPr id="129" name="橢圓​​ 128" descr="2">
            <a:extLst>
              <a:ext uri="{FF2B5EF4-FFF2-40B4-BE49-F238E27FC236}">
                <a16:creationId xmlns:a16="http://schemas.microsoft.com/office/drawing/2014/main" id="{00000000-0008-0000-0200-000081000000}"/>
              </a:ext>
            </a:extLst>
          </xdr:cNvPr>
          <xdr:cNvSpPr/>
        </xdr:nvSpPr>
        <xdr:spPr>
          <a:xfrm>
            <a:off x="231749" y="16137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oneCell">
    <xdr:from>
      <xdr:col>2</xdr:col>
      <xdr:colOff>333375</xdr:colOff>
      <xdr:row>46</xdr:row>
      <xdr:rowOff>82529</xdr:rowOff>
    </xdr:from>
    <xdr:to>
      <xdr:col>7</xdr:col>
      <xdr:colOff>180976</xdr:colOff>
      <xdr:row>58</xdr:row>
      <xdr:rowOff>66675</xdr:rowOff>
    </xdr:to>
    <xdr:grpSp>
      <xdr:nvGrpSpPr>
        <xdr:cNvPr id="4" name="群組 3"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B7960B44-C8E9-4F1E-A9E9-67C3B65C9601}"/>
            </a:ext>
          </a:extLst>
        </xdr:cNvPr>
        <xdr:cNvGrpSpPr/>
      </xdr:nvGrpSpPr>
      <xdr:grpSpPr>
        <a:xfrm>
          <a:off x="6877050" y="9417029"/>
          <a:ext cx="3895726" cy="2270146"/>
          <a:chOff x="6705600" y="9883754"/>
          <a:chExt cx="3576210" cy="2270146"/>
        </a:xfrm>
      </xdr:grpSpPr>
      <xdr:sp macro="" textlink="">
        <xdr:nvSpPr>
          <xdr:cNvPr id="80" name="手繪多邊形：圖案 79" descr="箭號">
            <a:extLst>
              <a:ext uri="{FF2B5EF4-FFF2-40B4-BE49-F238E27FC236}">
                <a16:creationId xmlns:a16="http://schemas.microsoft.com/office/drawing/2014/main" id="{00000000-0008-0000-0200-000050000000}"/>
              </a:ext>
            </a:extLst>
          </xdr:cNvPr>
          <xdr:cNvSpPr/>
        </xdr:nvSpPr>
        <xdr:spPr>
          <a:xfrm>
            <a:off x="8707926" y="9883754"/>
            <a:ext cx="1362422" cy="87837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headEnd type="triangle"/>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IMPORTANT DETAIL&#10;Select this cell, and then drag the fill &#10;handle down 3 cells. After that, click this button:&#10;This is the AutoFill Options button, and it lets you change the fill immediately after. Choose another option like Copy cells or Fill formatting only. You never know when these might come in handy someday">
            <a:extLst>
              <a:ext uri="{FF2B5EF4-FFF2-40B4-BE49-F238E27FC236}">
                <a16:creationId xmlns:a16="http://schemas.microsoft.com/office/drawing/2014/main" id="{00000000-0008-0000-0200-00008E000000}"/>
              </a:ext>
            </a:extLst>
          </xdr:cNvPr>
          <xdr:cNvSpPr txBox="1"/>
        </xdr:nvSpPr>
        <xdr:spPr>
          <a:xfrm>
            <a:off x="7077075" y="10623960"/>
            <a:ext cx="3204735" cy="1529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選取這個儲存格，然後將填滿控點向下拖曳 3 個儲存格。之後，按一下這個按鈕：</a:t>
            </a:r>
            <a:r>
              <a:rPr lang="en-US" alt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此為 </a:t>
            </a:r>
            <a:r>
              <a:rPr lang="zh-tw" sz="1100" b="1" i="0" kern="1200" baseline="0">
                <a:solidFill>
                  <a:schemeClr val="dk1"/>
                </a:solidFill>
                <a:effectLst/>
                <a:latin typeface="Microsoft JhengHei UI" panose="020B0604030504040204" pitchFamily="34" charset="-120"/>
                <a:ea typeface="Microsoft JhengHei UI" panose="020B0604030504040204" pitchFamily="34" charset="-120"/>
                <a:cs typeface="+mn-cs"/>
              </a:rPr>
              <a:t>[自動填滿選項]</a:t>
            </a:r>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 按鈕，可讓您立即變更填滿選項。選擇其他選項，例如 [複製儲存格] 或 [僅以格式填滿]。這些選項總有一天會派上用場。</a:t>
            </a:r>
          </a:p>
          <a:p>
            <a:pPr rtl="0" eaLnBrk="1" fontAlgn="auto" latinLnBrk="0" hangingPunct="1"/>
            <a:endParaRPr lang="en-US" sz="1000" b="0" i="0" kern="1200" baseline="0">
              <a:solidFill>
                <a:schemeClr val="dk1"/>
              </a:solidFill>
              <a:effectLst/>
              <a:latin typeface="Microsoft JhengHei UI" panose="020B0604030504040204" pitchFamily="34" charset="-120"/>
              <a:ea typeface="Microsoft JhengHei UI" panose="020B0604030504040204" pitchFamily="34" charset="-120"/>
              <a:cs typeface="+mn-cs"/>
            </a:endParaRPr>
          </a:p>
        </xdr:txBody>
      </xdr:sp>
      <xdr:pic>
        <xdr:nvPicPr>
          <xdr:cNvPr id="143" name="圖形 147" descr="眼鏡">
            <a:extLst>
              <a:ext uri="{FF2B5EF4-FFF2-40B4-BE49-F238E27FC236}">
                <a16:creationId xmlns:a16="http://schemas.microsoft.com/office/drawing/2014/main" id="{00000000-0008-0000-0200-00008F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05600" y="10585887"/>
            <a:ext cx="323835" cy="364733"/>
          </a:xfrm>
          <a:prstGeom prst="rect">
            <a:avLst/>
          </a:prstGeom>
        </xdr:spPr>
      </xdr:pic>
      <xdr:pic>
        <xdr:nvPicPr>
          <xdr:cNvPr id="2" name="圖片 1" descr="自動填滿選項">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7"/>
          <a:srcRect l="15611" t="14187" r="4668" b="11100"/>
          <a:stretch/>
        </xdr:blipFill>
        <xdr:spPr>
          <a:xfrm>
            <a:off x="8468505" y="11141762"/>
            <a:ext cx="189507" cy="191986"/>
          </a:xfrm>
          <a:prstGeom prst="rect">
            <a:avLst/>
          </a:prstGeom>
        </xdr:spPr>
      </xdr:pic>
    </xdr:grpSp>
    <xdr:clientData/>
  </xdr:twoCellAnchor>
  <xdr:twoCellAnchor editAs="oneCell">
    <xdr:from>
      <xdr:col>0</xdr:col>
      <xdr:colOff>392055</xdr:colOff>
      <xdr:row>41</xdr:row>
      <xdr:rowOff>6292</xdr:rowOff>
    </xdr:from>
    <xdr:to>
      <xdr:col>1</xdr:col>
      <xdr:colOff>5075180</xdr:colOff>
      <xdr:row>62</xdr:row>
      <xdr:rowOff>57149</xdr:rowOff>
    </xdr:to>
    <xdr:grpSp>
      <xdr:nvGrpSpPr>
        <xdr:cNvPr id="163" name="填滿數列" descr="Fill a series&#10;Excel can automatically fill some cells based on a series. For example, you can type Jan in one cell, and then fill the other cells with Feb, Mar, etc. &#10;Click the cell with the word Jan.&#10;Rest your cursor on the lower-right corner of the cell until it becomes a cross, then drag right two cells. Excel detects a series, and fills in Feb and Mar for you.&#10;Now select the cell with Week 1&#10;Rest your cursor on the lower-right corner again, and when you get the cross, double-click it.">
          <a:extLst>
            <a:ext uri="{FF2B5EF4-FFF2-40B4-BE49-F238E27FC236}">
              <a16:creationId xmlns:a16="http://schemas.microsoft.com/office/drawing/2014/main" id="{00000000-0008-0000-0200-0000A3000000}"/>
            </a:ext>
          </a:extLst>
        </xdr:cNvPr>
        <xdr:cNvGrpSpPr/>
      </xdr:nvGrpSpPr>
      <xdr:grpSpPr>
        <a:xfrm>
          <a:off x="392055" y="8388292"/>
          <a:ext cx="5778500" cy="4051357"/>
          <a:chOff x="0" y="-9524"/>
          <a:chExt cx="5695950" cy="3946524"/>
        </a:xfrm>
      </xdr:grpSpPr>
      <xdr:sp macro="" textlink="">
        <xdr:nvSpPr>
          <xdr:cNvPr id="164" name="矩形 163" descr="背景">
            <a:extLst>
              <a:ext uri="{FF2B5EF4-FFF2-40B4-BE49-F238E27FC236}">
                <a16:creationId xmlns:a16="http://schemas.microsoft.com/office/drawing/2014/main" id="{00000000-0008-0000-0200-0000A4000000}"/>
              </a:ext>
            </a:extLst>
          </xdr:cNvPr>
          <xdr:cNvSpPr/>
        </xdr:nvSpPr>
        <xdr:spPr>
          <a:xfrm>
            <a:off x="0" y="-9524"/>
            <a:ext cx="5695950" cy="39465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5" name="步驟" descr="填滿數列">
            <a:extLst>
              <a:ext uri="{FF2B5EF4-FFF2-40B4-BE49-F238E27FC236}">
                <a16:creationId xmlns:a16="http://schemas.microsoft.com/office/drawing/2014/main" id="{00000000-0008-0000-0200-0000A5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填滿數列</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6" name="直線接點 165" descr="裝飾線條">
            <a:extLst>
              <a:ext uri="{FF2B5EF4-FFF2-40B4-BE49-F238E27FC236}">
                <a16:creationId xmlns:a16="http://schemas.microsoft.com/office/drawing/2014/main" id="{00000000-0008-0000-0200-0000A6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7" name="直線接點​​ 166" descr="裝飾線條">
            <a:extLst>
              <a:ext uri="{FF2B5EF4-FFF2-40B4-BE49-F238E27FC236}">
                <a16:creationId xmlns:a16="http://schemas.microsoft.com/office/drawing/2014/main" id="{00000000-0008-0000-0200-0000A7000000}"/>
              </a:ext>
            </a:extLst>
          </xdr:cNvPr>
          <xdr:cNvCxnSpPr>
            <a:cxnSpLocks/>
          </xdr:cNvCxnSpPr>
        </xdr:nvCxnSpPr>
        <xdr:spPr>
          <a:xfrm>
            <a:off x="234924" y="37338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8" name="步驟" descr="Excel 可依據數列自動填滿某些儲存格。例如，您可以在某個儲存格中輸入 1 月，然後在其他儲存格中填入 2 月、3 月等等。">
            <a:extLst>
              <a:ext uri="{FF2B5EF4-FFF2-40B4-BE49-F238E27FC236}">
                <a16:creationId xmlns:a16="http://schemas.microsoft.com/office/drawing/2014/main" id="{00000000-0008-0000-0200-0000A8000000}"/>
              </a:ext>
            </a:extLst>
          </xdr:cNvPr>
          <xdr:cNvSpPr txBox="1"/>
        </xdr:nvSpPr>
        <xdr:spPr>
          <a:xfrm>
            <a:off x="228600" y="699721"/>
            <a:ext cx="5237220"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i="0" kern="120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mn-cs"/>
              </a:rPr>
              <a:t>Excel 可依據數列自動填滿某些儲存格。例如，您可以在某個儲存格中輸入 1 月，然後在其他儲存格中填入 2 月、3 月等等。 </a:t>
            </a:r>
            <a:endParaRPr lang="en-US" sz="1100" i="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69" name="步驟" descr="按一下包含 [1 月] 文字的儲存格">
            <a:extLst>
              <a:ext uri="{FF2B5EF4-FFF2-40B4-BE49-F238E27FC236}">
                <a16:creationId xmlns:a16="http://schemas.microsoft.com/office/drawing/2014/main" id="{00000000-0008-0000-0200-0000A9000000}"/>
              </a:ext>
            </a:extLst>
          </xdr:cNvPr>
          <xdr:cNvSpPr txBox="1"/>
        </xdr:nvSpPr>
        <xdr:spPr>
          <a:xfrm>
            <a:off x="638783" y="1207467"/>
            <a:ext cx="4809516" cy="419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 月]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文字的儲存格。</a:t>
            </a:r>
          </a:p>
        </xdr:txBody>
      </xdr:sp>
      <xdr:sp macro="" textlink="">
        <xdr:nvSpPr>
          <xdr:cNvPr id="170" name="橢圓​​ 169" descr="1">
            <a:extLst>
              <a:ext uri="{FF2B5EF4-FFF2-40B4-BE49-F238E27FC236}">
                <a16:creationId xmlns:a16="http://schemas.microsoft.com/office/drawing/2014/main" id="{00000000-0008-0000-0200-0000AA000000}"/>
              </a:ext>
            </a:extLst>
          </xdr:cNvPr>
          <xdr:cNvSpPr/>
        </xdr:nvSpPr>
        <xdr:spPr>
          <a:xfrm>
            <a:off x="231749" y="116496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71" name="步驟" descr="將游標移到儲存格的右下角，直到游標變成十字形，然後向下拖曳兩個儲存格。Excel 會偵測數列，並為您填入 [2 月] 和 [3 月]">
            <a:extLst>
              <a:ext uri="{FF2B5EF4-FFF2-40B4-BE49-F238E27FC236}">
                <a16:creationId xmlns:a16="http://schemas.microsoft.com/office/drawing/2014/main" id="{00000000-0008-0000-0200-0000AB000000}"/>
              </a:ext>
            </a:extLst>
          </xdr:cNvPr>
          <xdr:cNvSpPr txBox="1"/>
        </xdr:nvSpPr>
        <xdr:spPr>
          <a:xfrm>
            <a:off x="638782" y="16840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將游標移到儲存格的右下角，直到游標變成十字形，然後向下拖曳兩個儲存格。Excel 會偵測數列，並為您填入</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[2 月]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和</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[3 月]。</a:t>
            </a:r>
          </a:p>
        </xdr:txBody>
      </xdr:sp>
      <xdr:sp macro="" textlink="">
        <xdr:nvSpPr>
          <xdr:cNvPr id="172" name="橢圓​​ 171" descr="2">
            <a:extLst>
              <a:ext uri="{FF2B5EF4-FFF2-40B4-BE49-F238E27FC236}">
                <a16:creationId xmlns:a16="http://schemas.microsoft.com/office/drawing/2014/main" id="{00000000-0008-0000-0200-0000AC000000}"/>
              </a:ext>
            </a:extLst>
          </xdr:cNvPr>
          <xdr:cNvSpPr/>
        </xdr:nvSpPr>
        <xdr:spPr>
          <a:xfrm>
            <a:off x="231749" y="16415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73" name="步驟" descr="現在，選取包含 [第 1 週] 文字的儲存格">
            <a:extLst>
              <a:ext uri="{FF2B5EF4-FFF2-40B4-BE49-F238E27FC236}">
                <a16:creationId xmlns:a16="http://schemas.microsoft.com/office/drawing/2014/main" id="{00000000-0008-0000-0200-0000AD000000}"/>
              </a:ext>
            </a:extLst>
          </xdr:cNvPr>
          <xdr:cNvSpPr txBox="1"/>
        </xdr:nvSpPr>
        <xdr:spPr>
          <a:xfrm>
            <a:off x="638782" y="2340227"/>
            <a:ext cx="4809517" cy="49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現在，選取包含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[第 1 週]</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文字的儲存格。 </a:t>
            </a:r>
          </a:p>
        </xdr:txBody>
      </xdr:sp>
      <xdr:sp macro="" textlink="">
        <xdr:nvSpPr>
          <xdr:cNvPr id="174" name="橢圓​​ 173" descr="3">
            <a:extLst>
              <a:ext uri="{FF2B5EF4-FFF2-40B4-BE49-F238E27FC236}">
                <a16:creationId xmlns:a16="http://schemas.microsoft.com/office/drawing/2014/main" id="{00000000-0008-0000-0200-0000AE000000}"/>
              </a:ext>
            </a:extLst>
          </xdr:cNvPr>
          <xdr:cNvSpPr/>
        </xdr:nvSpPr>
        <xdr:spPr>
          <a:xfrm>
            <a:off x="231749" y="229772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75" name="步驟" descr="再次將游標移到儲存格的右下角，然後在游標變成十字形時按兩下">
            <a:extLst>
              <a:ext uri="{FF2B5EF4-FFF2-40B4-BE49-F238E27FC236}">
                <a16:creationId xmlns:a16="http://schemas.microsoft.com/office/drawing/2014/main" id="{00000000-0008-0000-0200-0000AF000000}"/>
              </a:ext>
            </a:extLst>
          </xdr:cNvPr>
          <xdr:cNvSpPr txBox="1"/>
        </xdr:nvSpPr>
        <xdr:spPr>
          <a:xfrm>
            <a:off x="638782" y="2823798"/>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再次將游標移到儲存格的右下角，然後在游標變成十字形時</a:t>
            </a:r>
            <a:r>
              <a:rPr lang="zh-tw" sz="1100" i="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76" name="橢圓​​ 175" descr="4">
            <a:extLst>
              <a:ext uri="{FF2B5EF4-FFF2-40B4-BE49-F238E27FC236}">
                <a16:creationId xmlns:a16="http://schemas.microsoft.com/office/drawing/2014/main" id="{00000000-0008-0000-0200-0000B0000000}"/>
              </a:ext>
            </a:extLst>
          </xdr:cNvPr>
          <xdr:cNvSpPr/>
        </xdr:nvSpPr>
        <xdr:spPr>
          <a:xfrm>
            <a:off x="231749" y="278130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0</xdr:col>
      <xdr:colOff>392055</xdr:colOff>
      <xdr:row>62</xdr:row>
      <xdr:rowOff>178970</xdr:rowOff>
    </xdr:from>
    <xdr:to>
      <xdr:col>1</xdr:col>
      <xdr:colOff>5075180</xdr:colOff>
      <xdr:row>77</xdr:row>
      <xdr:rowOff>128170</xdr:rowOff>
    </xdr:to>
    <xdr:grpSp>
      <xdr:nvGrpSpPr>
        <xdr:cNvPr id="187" name="網路上的更多資訊" descr="More information on the web, contains links to the web&#10;Back to top&#10;Next step">
          <a:extLst>
            <a:ext uri="{FF2B5EF4-FFF2-40B4-BE49-F238E27FC236}">
              <a16:creationId xmlns:a16="http://schemas.microsoft.com/office/drawing/2014/main" id="{00000000-0008-0000-0200-0000BB000000}"/>
            </a:ext>
          </a:extLst>
        </xdr:cNvPr>
        <xdr:cNvGrpSpPr/>
      </xdr:nvGrpSpPr>
      <xdr:grpSpPr>
        <a:xfrm>
          <a:off x="392055" y="12561470"/>
          <a:ext cx="5778500" cy="2806700"/>
          <a:chOff x="0" y="1"/>
          <a:chExt cx="5695950" cy="2806700"/>
        </a:xfrm>
      </xdr:grpSpPr>
      <xdr:sp macro="" textlink="">
        <xdr:nvSpPr>
          <xdr:cNvPr id="188" name="矩形 187" descr="背景">
            <a:extLst>
              <a:ext uri="{FF2B5EF4-FFF2-40B4-BE49-F238E27FC236}">
                <a16:creationId xmlns:a16="http://schemas.microsoft.com/office/drawing/2014/main" id="{00000000-0008-0000-0200-0000BC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89" name="步驟" descr="Web 上的更多資訊">
            <a:extLst>
              <a:ext uri="{FF2B5EF4-FFF2-40B4-BE49-F238E27FC236}">
                <a16:creationId xmlns:a16="http://schemas.microsoft.com/office/drawing/2014/main" id="{00000000-0008-0000-0200-0000BD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en-US" alt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Web </a:t>
            </a: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90" name="直線接點 189" descr="裝飾線條">
            <a:extLst>
              <a:ext uri="{FF2B5EF4-FFF2-40B4-BE49-F238E27FC236}">
                <a16:creationId xmlns:a16="http://schemas.microsoft.com/office/drawing/2014/main" id="{00000000-0008-0000-0200-0000BE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1" name="[下一步] 按鈕" descr="回到頁首，附有移至儲存格 A1 的超連結">
            <a:hlinkClick xmlns:r="http://schemas.openxmlformats.org/officeDocument/2006/relationships" r:id="rId8" tooltip="選取以回到此工作表中的儲存格 A1"/>
            <a:extLst>
              <a:ext uri="{FF2B5EF4-FFF2-40B4-BE49-F238E27FC236}">
                <a16:creationId xmlns:a16="http://schemas.microsoft.com/office/drawing/2014/main" id="{00000000-0008-0000-0200-0000BF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92" name="直線接點​​ 191" descr="裝飾線條">
            <a:extLst>
              <a:ext uri="{FF2B5EF4-FFF2-40B4-BE49-F238E27FC236}">
                <a16:creationId xmlns:a16="http://schemas.microsoft.com/office/drawing/2014/main" id="{00000000-0008-0000-0200-0000C0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3"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200-0000C1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94" name="步驟" descr="在工作表儲存格中自動填入資料，附有移至 Web 的超連結">
            <a:hlinkClick xmlns:r="http://schemas.openxmlformats.org/officeDocument/2006/relationships" r:id="rId9" tooltip="選取以從 Web 了解如何在工作表儲存格中自動填入資料"/>
            <a:extLst>
              <a:ext uri="{FF2B5EF4-FFF2-40B4-BE49-F238E27FC236}">
                <a16:creationId xmlns:a16="http://schemas.microsoft.com/office/drawing/2014/main" id="{00000000-0008-0000-0200-0000C2000000}"/>
              </a:ext>
            </a:extLst>
          </xdr:cNvPr>
          <xdr:cNvSpPr txBox="1"/>
        </xdr:nvSpPr>
        <xdr:spPr>
          <a:xfrm>
            <a:off x="638783" y="794849"/>
            <a:ext cx="275211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在工作表儲存格中自動填入資料</a:t>
            </a:r>
          </a:p>
        </xdr:txBody>
      </xdr:sp>
      <xdr:pic>
        <xdr:nvPicPr>
          <xdr:cNvPr id="195"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200-0000C3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699572"/>
            <a:ext cx="454554" cy="448472"/>
          </a:xfrm>
          <a:prstGeom prst="rect">
            <a:avLst/>
          </a:prstGeom>
        </xdr:spPr>
      </xdr:pic>
      <xdr:sp macro="" textlink="">
        <xdr:nvSpPr>
          <xdr:cNvPr id="196" name="步驟" descr="將公式向下填滿相鄰的儲存格，附有移至 Web 的超連結">
            <a:hlinkClick xmlns:r="http://schemas.openxmlformats.org/officeDocument/2006/relationships" r:id="rId12" tooltip="選取以從 Web 了解如何將公式向下填滿相鄰的儲存格"/>
            <a:extLst>
              <a:ext uri="{FF2B5EF4-FFF2-40B4-BE49-F238E27FC236}">
                <a16:creationId xmlns:a16="http://schemas.microsoft.com/office/drawing/2014/main" id="{00000000-0008-0000-0200-0000C4000000}"/>
              </a:ext>
            </a:extLst>
          </xdr:cNvPr>
          <xdr:cNvSpPr txBox="1"/>
        </xdr:nvSpPr>
        <xdr:spPr>
          <a:xfrm>
            <a:off x="638783" y="1259456"/>
            <a:ext cx="27521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alt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將公式向下填入至相鄰儲存格</a:t>
            </a:r>
            <a:endPar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br>
              <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97"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200-0000C5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11503" y="1157426"/>
            <a:ext cx="454554" cy="448472"/>
          </a:xfrm>
          <a:prstGeom prst="rect">
            <a:avLst/>
          </a:prstGeom>
        </xdr:spPr>
      </xdr:pic>
    </xdr:grpSp>
    <xdr:clientData/>
  </xdr:twoCellAnchor>
  <xdr:absoluteAnchor>
    <xdr:pos x="4275111" y="1924982"/>
    <xdr:ext cx="614224" cy="252734"/>
    <xdr:pic>
      <xdr:nvPicPr>
        <xdr:cNvPr id="81" name="指示" descr="儲存格的右下角">
          <a:extLst>
            <a:ext uri="{FF2B5EF4-FFF2-40B4-BE49-F238E27FC236}">
              <a16:creationId xmlns:a16="http://schemas.microsoft.com/office/drawing/2014/main" id="{00000000-0008-0000-0200-000051000000}"/>
            </a:ext>
          </a:extLst>
        </xdr:cNvPr>
        <xdr:cNvPicPr>
          <a:picLocks noChangeAspect="1"/>
        </xdr:cNvPicPr>
      </xdr:nvPicPr>
      <xdr:blipFill rotWithShape="1">
        <a:blip xmlns:r="http://schemas.openxmlformats.org/officeDocument/2006/relationships" r:embed="rId13">
          <a:extLst>
            <a:ext uri="{BEBA8EAE-BF5A-486C-A8C5-ECC9F3942E4B}">
              <a14:imgProps xmlns:a14="http://schemas.microsoft.com/office/drawing/2010/main">
                <a14:imgLayer r:embed="rId14">
                  <a14:imgEffect>
                    <a14:sharpenSoften amount="28000"/>
                  </a14:imgEffect>
                </a14:imgLayer>
              </a14:imgProps>
            </a:ext>
          </a:extLst>
        </a:blip>
        <a:srcRect l="27544" t="42475" r="14947" b="22882"/>
        <a:stretch/>
      </xdr:blipFill>
      <xdr:spPr>
        <a:xfrm>
          <a:off x="4275111" y="1924982"/>
          <a:ext cx="614224" cy="252734"/>
        </a:xfrm>
        <a:prstGeom prst="rect">
          <a:avLst/>
        </a:prstGeom>
      </xdr:spPr>
    </xdr:pic>
    <xdr:clientData/>
  </xdr:absoluteAnchor>
  <xdr:twoCellAnchor editAs="oneCell">
    <xdr:from>
      <xdr:col>2</xdr:col>
      <xdr:colOff>34507</xdr:colOff>
      <xdr:row>61</xdr:row>
      <xdr:rowOff>100703</xdr:rowOff>
    </xdr:from>
    <xdr:to>
      <xdr:col>7</xdr:col>
      <xdr:colOff>206386</xdr:colOff>
      <xdr:row>69</xdr:row>
      <xdr:rowOff>133349</xdr:rowOff>
    </xdr:to>
    <xdr:grpSp>
      <xdr:nvGrpSpPr>
        <xdr:cNvPr id="10" name="試試看" descr="選取這兩個儲存格，然後將填滿控點拖曳到右側。Excel 會以 15 的遞增數列填滿。嘗試將 15 和 30 變更為其他值，例如 1 和 1.8。或者，週一和週三。或者，1 月和 3 月。然後再次向右填滿，看看會產生什麼結果！">
          <a:extLst>
            <a:ext uri="{FF2B5EF4-FFF2-40B4-BE49-F238E27FC236}">
              <a16:creationId xmlns:a16="http://schemas.microsoft.com/office/drawing/2014/main" id="{00000000-0008-0000-0200-00000A000000}"/>
            </a:ext>
          </a:extLst>
        </xdr:cNvPr>
        <xdr:cNvGrpSpPr/>
      </xdr:nvGrpSpPr>
      <xdr:grpSpPr>
        <a:xfrm>
          <a:off x="6578182" y="12292703"/>
          <a:ext cx="4220004" cy="1556646"/>
          <a:chOff x="6377940" y="12702278"/>
          <a:chExt cx="3898164" cy="1556646"/>
        </a:xfrm>
      </xdr:grpSpPr>
      <xdr:sp macro="" textlink="">
        <xdr:nvSpPr>
          <xdr:cNvPr id="147" name="步驟" descr="EXPERIMENT&#10;Select these two cells, and then drag the fill handle to the right. Excel fills the series in increments of 15. Try changing 15 and 30 to other values, like 1 and 1.8. Or, Mon and Wed. Or, January and March. And then fill to the right again... see what happens!">
            <a:extLst>
              <a:ext uri="{FF2B5EF4-FFF2-40B4-BE49-F238E27FC236}">
                <a16:creationId xmlns:a16="http://schemas.microsoft.com/office/drawing/2014/main" id="{00000000-0008-0000-0200-000093000000}"/>
              </a:ext>
            </a:extLst>
          </xdr:cNvPr>
          <xdr:cNvSpPr txBox="1"/>
        </xdr:nvSpPr>
        <xdr:spPr>
          <a:xfrm>
            <a:off x="6739590" y="12923419"/>
            <a:ext cx="3536514" cy="1335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選取這兩個儲存格，然後將填滿控點拖曳到右側。Excel 會以 15 的遞增數列填滿。嘗試將 15 和 30 變更為其他值，例如 1 和 1.8。或者，週一和週三。或者，1 月和 3 月。然後再次向右填滿，看看會產生什麼結果！</a:t>
            </a:r>
          </a:p>
        </xdr:txBody>
      </xdr:sp>
      <xdr:sp macro="" textlink="">
        <xdr:nvSpPr>
          <xdr:cNvPr id="149" name="手繪多邊形：圖案 148" descr="括號行">
            <a:extLst>
              <a:ext uri="{FF2B5EF4-FFF2-40B4-BE49-F238E27FC236}">
                <a16:creationId xmlns:a16="http://schemas.microsoft.com/office/drawing/2014/main" id="{00000000-0008-0000-0200-000095000000}"/>
              </a:ext>
            </a:extLst>
          </xdr:cNvPr>
          <xdr:cNvSpPr/>
        </xdr:nvSpPr>
        <xdr:spPr>
          <a:xfrm rot="5400000">
            <a:off x="7390583" y="12339297"/>
            <a:ext cx="185049" cy="911011"/>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98" name="手繪多邊形：圖案 197" descr="括號行">
            <a:extLst>
              <a:ext uri="{FF2B5EF4-FFF2-40B4-BE49-F238E27FC236}">
                <a16:creationId xmlns:a16="http://schemas.microsoft.com/office/drawing/2014/main" id="{00000000-0008-0000-0200-0000C6000000}"/>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3" name="弧線 2">
            <a:extLst>
              <a:ext uri="{FF2B5EF4-FFF2-40B4-BE49-F238E27FC236}">
                <a16:creationId xmlns:a16="http://schemas.microsoft.com/office/drawing/2014/main" id="{00000000-0008-0000-0200-000003000000}"/>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99" name="弧線 198">
            <a:extLst>
              <a:ext uri="{FF2B5EF4-FFF2-40B4-BE49-F238E27FC236}">
                <a16:creationId xmlns:a16="http://schemas.microsoft.com/office/drawing/2014/main" id="{00000000-0008-0000-0200-0000C7000000}"/>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pic>
        <xdr:nvPicPr>
          <xdr:cNvPr id="73" name="圖形 96" descr="燒瓶">
            <a:extLst>
              <a:ext uri="{FF2B5EF4-FFF2-40B4-BE49-F238E27FC236}">
                <a16:creationId xmlns:a16="http://schemas.microsoft.com/office/drawing/2014/main" id="{00000000-0008-0000-0200-000049000000}"/>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6507377" y="13028195"/>
            <a:ext cx="384748" cy="368300"/>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2047874</xdr:colOff>
      <xdr:row>9</xdr:row>
      <xdr:rowOff>200025</xdr:rowOff>
    </xdr:from>
    <xdr:to>
      <xdr:col>4</xdr:col>
      <xdr:colOff>225425</xdr:colOff>
      <xdr:row>16</xdr:row>
      <xdr:rowOff>85724</xdr:rowOff>
    </xdr:to>
    <xdr:grpSp>
      <xdr:nvGrpSpPr>
        <xdr:cNvPr id="7" name="不可不知" descr="不可不知：CTRL+E 是 [快速填入] 的快速鍵">
          <a:extLst>
            <a:ext uri="{FF2B5EF4-FFF2-40B4-BE49-F238E27FC236}">
              <a16:creationId xmlns:a16="http://schemas.microsoft.com/office/drawing/2014/main" id="{00000000-0008-0000-0300-000007000000}"/>
            </a:ext>
          </a:extLst>
        </xdr:cNvPr>
        <xdr:cNvGrpSpPr/>
      </xdr:nvGrpSpPr>
      <xdr:grpSpPr>
        <a:xfrm>
          <a:off x="8591549" y="2476500"/>
          <a:ext cx="1968501" cy="1228724"/>
          <a:chOff x="8420099" y="2619375"/>
          <a:chExt cx="1657351" cy="1228724"/>
        </a:xfrm>
      </xdr:grpSpPr>
      <xdr:sp macro="" textlink="">
        <xdr:nvSpPr>
          <xdr:cNvPr id="102" name="步驟" descr="GOOD TO KNOW&#10;CTRL+E is the shortcut for Flash Fill">
            <a:extLst>
              <a:ext uri="{FF2B5EF4-FFF2-40B4-BE49-F238E27FC236}">
                <a16:creationId xmlns:a16="http://schemas.microsoft.com/office/drawing/2014/main" id="{00000000-0008-0000-0300-000066000000}"/>
              </a:ext>
            </a:extLst>
          </xdr:cNvPr>
          <xdr:cNvSpPr txBox="1"/>
        </xdr:nvSpPr>
        <xdr:spPr>
          <a:xfrm>
            <a:off x="8743781" y="2636226"/>
            <a:ext cx="1333669" cy="1211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rtl="0" eaLnBrk="1" fontAlgn="auto" latinLnBrk="0" hangingPunct="1"/>
            <a:r>
              <a:rPr lang="zh-tw" sz="1100" b="0" i="0" kern="1200" baseline="0">
                <a:solidFill>
                  <a:schemeClr val="dk1"/>
                </a:solidFill>
                <a:effectLst/>
                <a:latin typeface="Microsoft JhengHei UI" panose="020B0604030504040204" pitchFamily="34" charset="-120"/>
                <a:ea typeface="Microsoft JhengHei UI" panose="020B0604030504040204" pitchFamily="34" charset="-120"/>
                <a:cs typeface="+mn-cs"/>
              </a:rPr>
              <a:t>CTRL+E 是 [快速填入] 的快速鍵。 </a:t>
            </a:r>
            <a:endParaRPr lang="en-US" sz="1100">
              <a:effectLst/>
              <a:latin typeface="Microsoft JhengHei UI" panose="020B0604030504040204" pitchFamily="34" charset="-120"/>
              <a:ea typeface="Microsoft JhengHei UI" panose="020B0604030504040204" pitchFamily="34" charset="-120"/>
            </a:endParaRPr>
          </a:p>
        </xdr:txBody>
      </xdr:sp>
      <xdr:pic>
        <xdr:nvPicPr>
          <xdr:cNvPr id="103" name="圖形 147" descr="眼鏡">
            <a:extLst>
              <a:ext uri="{FF2B5EF4-FFF2-40B4-BE49-F238E27FC236}">
                <a16:creationId xmlns:a16="http://schemas.microsoft.com/office/drawing/2014/main" id="{00000000-0008-0000-0300-000067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420099" y="2619375"/>
            <a:ext cx="349249" cy="349249"/>
          </a:xfrm>
          <a:prstGeom prst="rect">
            <a:avLst/>
          </a:prstGeom>
        </xdr:spPr>
      </xdr:pic>
    </xdr:grpSp>
    <xdr:clientData/>
  </xdr:twoCellAnchor>
  <xdr:twoCellAnchor editAs="oneCell">
    <xdr:from>
      <xdr:col>1</xdr:col>
      <xdr:colOff>5429250</xdr:colOff>
      <xdr:row>56</xdr:row>
      <xdr:rowOff>0</xdr:rowOff>
    </xdr:from>
    <xdr:to>
      <xdr:col>11</xdr:col>
      <xdr:colOff>101150</xdr:colOff>
      <xdr:row>72</xdr:row>
      <xdr:rowOff>90237</xdr:rowOff>
    </xdr:to>
    <xdr:grpSp>
      <xdr:nvGrpSpPr>
        <xdr:cNvPr id="8" name="運作方式：" descr="=LEFT(C56,FIND(&quot; &quot;,C56)-1)&#10;Extract characters from the left side of...&#10;…this cell...&#10;...and extract this many characters. To specify the number of characters, use the FIND function...&#10;...and find the character position number of...&#10;... the first space...&#10;...in this cell.&#10;...then subtract 1 to exclude the space itself.&#10;=RIGHT(C56,LEN(C56)-FIND(&quot; &quot;,C56))&#10;Extract characters from the right side of...&#10;…this cell...&#10;...and extract this many characters. To specify the number of characters, use the LEN function...&#10;...and get the count of characters (character length) of... &#10;...this cell...&#10;...and subtract this number:&#10;Find the character position number of...&#10;...the first space...&#10;...in this cell">
          <a:extLst>
            <a:ext uri="{FF2B5EF4-FFF2-40B4-BE49-F238E27FC236}">
              <a16:creationId xmlns:a16="http://schemas.microsoft.com/office/drawing/2014/main" id="{00000000-0008-0000-0300-000008000000}"/>
            </a:ext>
          </a:extLst>
        </xdr:cNvPr>
        <xdr:cNvGrpSpPr/>
      </xdr:nvGrpSpPr>
      <xdr:grpSpPr>
        <a:xfrm>
          <a:off x="6524625" y="11239500"/>
          <a:ext cx="10578650" cy="3138237"/>
          <a:chOff x="6276975" y="11658600"/>
          <a:chExt cx="9127486" cy="3138237"/>
        </a:xfrm>
      </xdr:grpSpPr>
      <xdr:sp macro="" textlink="">
        <xdr:nvSpPr>
          <xdr:cNvPr id="104" name="步驟" descr="運作方式：">
            <a:extLst>
              <a:ext uri="{FF2B5EF4-FFF2-40B4-BE49-F238E27FC236}">
                <a16:creationId xmlns:a16="http://schemas.microsoft.com/office/drawing/2014/main" id="{00000000-0008-0000-0300-000068000000}"/>
              </a:ext>
            </a:extLst>
          </xdr:cNvPr>
          <xdr:cNvSpPr txBox="1"/>
        </xdr:nvSpPr>
        <xdr:spPr>
          <a:xfrm>
            <a:off x="6276975" y="11792065"/>
            <a:ext cx="2676672"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200" b="1" i="0" u="none" strike="noStrike" kern="0" cap="none" spc="0" normalizeH="0" baseline="0" noProof="0">
                <a:ln>
                  <a:noFill/>
                </a:ln>
                <a:solidFill>
                  <a:schemeClr val="accent1"/>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運作方式：</a:t>
            </a:r>
            <a:endParaRPr lang="en-US" sz="1050" b="1" i="0" u="none" cap="none" spc="0">
              <a:ln>
                <a:noFill/>
              </a:ln>
              <a:solidFill>
                <a:schemeClr val="accent1"/>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05" name="文字方塊 100" descr="=LEFT(C56,FIND(&quot; &quot;,C56)-1)">
            <a:extLst>
              <a:ext uri="{FF2B5EF4-FFF2-40B4-BE49-F238E27FC236}">
                <a16:creationId xmlns:a16="http://schemas.microsoft.com/office/drawing/2014/main" id="{00000000-0008-0000-0300-000069000000}"/>
              </a:ext>
            </a:extLst>
          </xdr:cNvPr>
          <xdr:cNvSpPr txBox="1"/>
        </xdr:nvSpPr>
        <xdr:spPr>
          <a:xfrm>
            <a:off x="6324978" y="13183258"/>
            <a:ext cx="3533395"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1600" b="1" spc="1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=LEFT(C56,FIND(" ",C56)-1)</a:t>
            </a:r>
            <a:endParaRPr lang="en-US" sz="1600" b="1" spc="1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06" name="左大括弧 105" descr="括號行">
            <a:extLst>
              <a:ext uri="{FF2B5EF4-FFF2-40B4-BE49-F238E27FC236}">
                <a16:creationId xmlns:a16="http://schemas.microsoft.com/office/drawing/2014/main" id="{00000000-0008-0000-0300-00006A000000}"/>
              </a:ext>
            </a:extLst>
          </xdr:cNvPr>
          <xdr:cNvSpPr/>
        </xdr:nvSpPr>
        <xdr:spPr>
          <a:xfrm rot="5400000">
            <a:off x="6613626" y="12953542"/>
            <a:ext cx="225836" cy="442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07" name="文字方塊 2">
            <a:extLst>
              <a:ext uri="{FF2B5EF4-FFF2-40B4-BE49-F238E27FC236}">
                <a16:creationId xmlns:a16="http://schemas.microsoft.com/office/drawing/2014/main" id="{00000000-0008-0000-0300-00006B000000}"/>
              </a:ext>
            </a:extLst>
          </xdr:cNvPr>
          <xdr:cNvSpPr txBox="1">
            <a:spLocks noChangeArrowheads="1"/>
          </xdr:cNvSpPr>
        </xdr:nvSpPr>
        <xdr:spPr bwMode="auto">
          <a:xfrm>
            <a:off x="6366118" y="12112418"/>
            <a:ext cx="767473" cy="9502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擷取</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左側的字元...</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31" name="左大括弧 130" descr="括號行">
            <a:extLst>
              <a:ext uri="{FF2B5EF4-FFF2-40B4-BE49-F238E27FC236}">
                <a16:creationId xmlns:a16="http://schemas.microsoft.com/office/drawing/2014/main" id="{00000000-0008-0000-0300-000083000000}"/>
              </a:ext>
            </a:extLst>
          </xdr:cNvPr>
          <xdr:cNvSpPr/>
        </xdr:nvSpPr>
        <xdr:spPr>
          <a:xfrm rot="5400000">
            <a:off x="7089278" y="13012841"/>
            <a:ext cx="245051" cy="3232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2" name="文字方塊 2" descr="…此儲存格...">
            <a:extLst>
              <a:ext uri="{FF2B5EF4-FFF2-40B4-BE49-F238E27FC236}">
                <a16:creationId xmlns:a16="http://schemas.microsoft.com/office/drawing/2014/main" id="{00000000-0008-0000-0300-000084000000}"/>
              </a:ext>
            </a:extLst>
          </xdr:cNvPr>
          <xdr:cNvSpPr txBox="1">
            <a:spLocks noChangeArrowheads="1"/>
          </xdr:cNvSpPr>
        </xdr:nvSpPr>
        <xdr:spPr bwMode="auto">
          <a:xfrm>
            <a:off x="7170834" y="12111406"/>
            <a:ext cx="493486" cy="947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33" name="文字方塊 2" descr="...並擷取此多個字元。若要指定字元數，請使用 FIND 函數...">
            <a:extLst>
              <a:ext uri="{FF2B5EF4-FFF2-40B4-BE49-F238E27FC236}">
                <a16:creationId xmlns:a16="http://schemas.microsoft.com/office/drawing/2014/main" id="{00000000-0008-0000-0300-000085000000}"/>
              </a:ext>
            </a:extLst>
          </xdr:cNvPr>
          <xdr:cNvSpPr txBox="1">
            <a:spLocks noChangeArrowheads="1"/>
          </xdr:cNvSpPr>
        </xdr:nvSpPr>
        <xdr:spPr bwMode="auto">
          <a:xfrm>
            <a:off x="7701565" y="12111402"/>
            <a:ext cx="1666677" cy="94748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...並擷取此</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多個字元。若要指定字元數，請使用 FIND 函數...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4" name="左大括弧 133" descr="括號行">
            <a:extLst>
              <a:ext uri="{FF2B5EF4-FFF2-40B4-BE49-F238E27FC236}">
                <a16:creationId xmlns:a16="http://schemas.microsoft.com/office/drawing/2014/main" id="{00000000-0008-0000-0300-000086000000}"/>
              </a:ext>
            </a:extLst>
          </xdr:cNvPr>
          <xdr:cNvSpPr/>
        </xdr:nvSpPr>
        <xdr:spPr>
          <a:xfrm rot="5400000">
            <a:off x="7976508" y="12491987"/>
            <a:ext cx="229093" cy="13612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5" name="文字方塊 2" descr="...並找出字元位置數...">
            <a:extLst>
              <a:ext uri="{FF2B5EF4-FFF2-40B4-BE49-F238E27FC236}">
                <a16:creationId xmlns:a16="http://schemas.microsoft.com/office/drawing/2014/main" id="{00000000-0008-0000-0300-000087000000}"/>
              </a:ext>
            </a:extLst>
          </xdr:cNvPr>
          <xdr:cNvSpPr txBox="1">
            <a:spLocks noChangeArrowheads="1"/>
          </xdr:cNvSpPr>
        </xdr:nvSpPr>
        <xdr:spPr bwMode="auto">
          <a:xfrm>
            <a:off x="6853337" y="13736321"/>
            <a:ext cx="912519"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...並找出</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6" name="左大括弧 135" descr="括號行">
            <a:extLst>
              <a:ext uri="{FF2B5EF4-FFF2-40B4-BE49-F238E27FC236}">
                <a16:creationId xmlns:a16="http://schemas.microsoft.com/office/drawing/2014/main" id="{00000000-0008-0000-0300-000088000000}"/>
              </a:ext>
            </a:extLst>
          </xdr:cNvPr>
          <xdr:cNvSpPr/>
        </xdr:nvSpPr>
        <xdr:spPr>
          <a:xfrm rot="16200000">
            <a:off x="7559289" y="13395725"/>
            <a:ext cx="229093" cy="43005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7" name="文字方塊 2" descr="... 第一個空格...">
            <a:extLst>
              <a:ext uri="{FF2B5EF4-FFF2-40B4-BE49-F238E27FC236}">
                <a16:creationId xmlns:a16="http://schemas.microsoft.com/office/drawing/2014/main" id="{00000000-0008-0000-0300-000089000000}"/>
              </a:ext>
            </a:extLst>
          </xdr:cNvPr>
          <xdr:cNvSpPr txBox="1">
            <a:spLocks noChangeArrowheads="1"/>
          </xdr:cNvSpPr>
        </xdr:nvSpPr>
        <xdr:spPr bwMode="auto">
          <a:xfrm>
            <a:off x="7797302" y="13736322"/>
            <a:ext cx="601987"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第一個空格的...</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38" name="左大括弧 137" descr="括號行">
            <a:extLst>
              <a:ext uri="{FF2B5EF4-FFF2-40B4-BE49-F238E27FC236}">
                <a16:creationId xmlns:a16="http://schemas.microsoft.com/office/drawing/2014/main" id="{00000000-0008-0000-0300-00008A000000}"/>
              </a:ext>
            </a:extLst>
          </xdr:cNvPr>
          <xdr:cNvSpPr/>
        </xdr:nvSpPr>
        <xdr:spPr>
          <a:xfrm rot="16200000">
            <a:off x="8022853" y="13444728"/>
            <a:ext cx="229093" cy="3320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39" name="文字方塊 2" descr="...此儲存格">
            <a:extLst>
              <a:ext uri="{FF2B5EF4-FFF2-40B4-BE49-F238E27FC236}">
                <a16:creationId xmlns:a16="http://schemas.microsoft.com/office/drawing/2014/main" id="{00000000-0008-0000-0300-00008B000000}"/>
              </a:ext>
            </a:extLst>
          </xdr:cNvPr>
          <xdr:cNvSpPr txBox="1">
            <a:spLocks noChangeArrowheads="1"/>
          </xdr:cNvSpPr>
        </xdr:nvSpPr>
        <xdr:spPr bwMode="auto">
          <a:xfrm>
            <a:off x="8430032" y="13736322"/>
            <a:ext cx="438356" cy="1037068"/>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字元位置數。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0" name="左大括弧 139" descr="括號行">
            <a:extLst>
              <a:ext uri="{FF2B5EF4-FFF2-40B4-BE49-F238E27FC236}">
                <a16:creationId xmlns:a16="http://schemas.microsoft.com/office/drawing/2014/main" id="{00000000-0008-0000-0300-00008C000000}"/>
              </a:ext>
            </a:extLst>
          </xdr:cNvPr>
          <xdr:cNvSpPr/>
        </xdr:nvSpPr>
        <xdr:spPr>
          <a:xfrm rot="16200000">
            <a:off x="8405246" y="13442704"/>
            <a:ext cx="229093" cy="3741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1" name="文字方塊 2" descr="...然後減去 1 來去除空格本身">
            <a:extLst>
              <a:ext uri="{FF2B5EF4-FFF2-40B4-BE49-F238E27FC236}">
                <a16:creationId xmlns:a16="http://schemas.microsoft.com/office/drawing/2014/main" id="{00000000-0008-0000-0300-00008D000000}"/>
              </a:ext>
            </a:extLst>
          </xdr:cNvPr>
          <xdr:cNvSpPr txBox="1">
            <a:spLocks noChangeArrowheads="1"/>
          </xdr:cNvSpPr>
        </xdr:nvSpPr>
        <xdr:spPr bwMode="auto">
          <a:xfrm>
            <a:off x="8892986" y="13734332"/>
            <a:ext cx="777067" cy="1035162"/>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...然後減去 1 來去除空格本身。</a:t>
            </a: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2" name="左大括弧 141" descr="括號行">
            <a:extLst>
              <a:ext uri="{FF2B5EF4-FFF2-40B4-BE49-F238E27FC236}">
                <a16:creationId xmlns:a16="http://schemas.microsoft.com/office/drawing/2014/main" id="{00000000-0008-0000-0300-00008E000000}"/>
              </a:ext>
            </a:extLst>
          </xdr:cNvPr>
          <xdr:cNvSpPr/>
        </xdr:nvSpPr>
        <xdr:spPr>
          <a:xfrm rot="16200000" flipV="1">
            <a:off x="8752840" y="13500102"/>
            <a:ext cx="229093" cy="221308"/>
          </a:xfrm>
          <a:prstGeom prst="leftBrace">
            <a:avLst>
              <a:gd name="adj1" fmla="val 8333"/>
              <a:gd name="adj2" fmla="val 26922"/>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3" name="手繪多邊形：圖案 142" descr="括號行">
            <a:extLst>
              <a:ext uri="{FF2B5EF4-FFF2-40B4-BE49-F238E27FC236}">
                <a16:creationId xmlns:a16="http://schemas.microsoft.com/office/drawing/2014/main" id="{00000000-0008-0000-0300-00008F000000}"/>
              </a:ext>
            </a:extLst>
          </xdr:cNvPr>
          <xdr:cNvSpPr/>
        </xdr:nvSpPr>
        <xdr:spPr>
          <a:xfrm>
            <a:off x="6800850" y="11658600"/>
            <a:ext cx="2993066" cy="205863"/>
          </a:xfrm>
          <a:custGeom>
            <a:avLst/>
            <a:gdLst>
              <a:gd name="connsiteX0" fmla="*/ 1629276 w 1629276"/>
              <a:gd name="connsiteY0" fmla="*/ 0 h 1017671"/>
              <a:gd name="connsiteX1" fmla="*/ 1629276 w 1629276"/>
              <a:gd name="connsiteY1" fmla="*/ 140368 h 1017671"/>
              <a:gd name="connsiteX2" fmla="*/ 0 w 1629276"/>
              <a:gd name="connsiteY2" fmla="*/ 140368 h 1017671"/>
              <a:gd name="connsiteX3" fmla="*/ 0 w 1629276"/>
              <a:gd name="connsiteY3" fmla="*/ 917408 h 1017671"/>
              <a:gd name="connsiteX4" fmla="*/ 200526 w 1629276"/>
              <a:gd name="connsiteY4" fmla="*/ 1017671 h 1017671"/>
              <a:gd name="connsiteX0" fmla="*/ 1629276 w 1629276"/>
              <a:gd name="connsiteY0" fmla="*/ 0 h 917408"/>
              <a:gd name="connsiteX1" fmla="*/ 1629276 w 1629276"/>
              <a:gd name="connsiteY1" fmla="*/ 140368 h 917408"/>
              <a:gd name="connsiteX2" fmla="*/ 0 w 1629276"/>
              <a:gd name="connsiteY2" fmla="*/ 140368 h 917408"/>
              <a:gd name="connsiteX3" fmla="*/ 0 w 1629276"/>
              <a:gd name="connsiteY3" fmla="*/ 917408 h 917408"/>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818775"/>
              <a:gd name="connsiteX1" fmla="*/ 1629276 w 1629276"/>
              <a:gd name="connsiteY1" fmla="*/ 140368 h 818775"/>
              <a:gd name="connsiteX2" fmla="*/ 0 w 1629276"/>
              <a:gd name="connsiteY2" fmla="*/ 140368 h 818775"/>
              <a:gd name="connsiteX3" fmla="*/ 0 w 1629276"/>
              <a:gd name="connsiteY3" fmla="*/ 818775 h 818775"/>
              <a:gd name="connsiteX0" fmla="*/ 1629276 w 1629276"/>
              <a:gd name="connsiteY0" fmla="*/ 0 h 286057"/>
              <a:gd name="connsiteX1" fmla="*/ 1629276 w 1629276"/>
              <a:gd name="connsiteY1" fmla="*/ 140368 h 286057"/>
              <a:gd name="connsiteX2" fmla="*/ 0 w 1629276"/>
              <a:gd name="connsiteY2" fmla="*/ 140368 h 286057"/>
              <a:gd name="connsiteX3" fmla="*/ 0 w 1629276"/>
              <a:gd name="connsiteY3" fmla="*/ 286057 h 286057"/>
            </a:gdLst>
            <a:ahLst/>
            <a:cxnLst>
              <a:cxn ang="0">
                <a:pos x="connsiteX0" y="connsiteY0"/>
              </a:cxn>
              <a:cxn ang="0">
                <a:pos x="connsiteX1" y="connsiteY1"/>
              </a:cxn>
              <a:cxn ang="0">
                <a:pos x="connsiteX2" y="connsiteY2"/>
              </a:cxn>
              <a:cxn ang="0">
                <a:pos x="connsiteX3" y="connsiteY3"/>
              </a:cxn>
            </a:cxnLst>
            <a:rect l="l" t="t" r="r" b="b"/>
            <a:pathLst>
              <a:path w="1629276" h="286057">
                <a:moveTo>
                  <a:pt x="1629276" y="0"/>
                </a:moveTo>
                <a:lnTo>
                  <a:pt x="1629276" y="140368"/>
                </a:lnTo>
                <a:lnTo>
                  <a:pt x="0" y="140368"/>
                </a:lnTo>
                <a:lnTo>
                  <a:pt x="0" y="286057"/>
                </a:lnTo>
              </a:path>
            </a:pathLst>
          </a:cu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4" name="左大括弧 143" descr="括號行">
            <a:extLst>
              <a:ext uri="{FF2B5EF4-FFF2-40B4-BE49-F238E27FC236}">
                <a16:creationId xmlns:a16="http://schemas.microsoft.com/office/drawing/2014/main" id="{00000000-0008-0000-0300-000090000000}"/>
              </a:ext>
            </a:extLst>
          </xdr:cNvPr>
          <xdr:cNvSpPr/>
        </xdr:nvSpPr>
        <xdr:spPr>
          <a:xfrm rot="5400000">
            <a:off x="9952172" y="12866085"/>
            <a:ext cx="216320" cy="63529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5" name="文字方塊 2">
            <a:extLst>
              <a:ext uri="{FF2B5EF4-FFF2-40B4-BE49-F238E27FC236}">
                <a16:creationId xmlns:a16="http://schemas.microsoft.com/office/drawing/2014/main" id="{00000000-0008-0000-0300-000091000000}"/>
              </a:ext>
            </a:extLst>
          </xdr:cNvPr>
          <xdr:cNvSpPr txBox="1">
            <a:spLocks noChangeArrowheads="1"/>
          </xdr:cNvSpPr>
        </xdr:nvSpPr>
        <xdr:spPr bwMode="auto">
          <a:xfrm>
            <a:off x="9725712" y="12126340"/>
            <a:ext cx="668668" cy="95026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擷取</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右側的字元...</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46" name="左大括弧 145" descr="括號行">
            <a:extLst>
              <a:ext uri="{FF2B5EF4-FFF2-40B4-BE49-F238E27FC236}">
                <a16:creationId xmlns:a16="http://schemas.microsoft.com/office/drawing/2014/main" id="{00000000-0008-0000-0300-000092000000}"/>
              </a:ext>
            </a:extLst>
          </xdr:cNvPr>
          <xdr:cNvSpPr/>
        </xdr:nvSpPr>
        <xdr:spPr>
          <a:xfrm rot="5400000">
            <a:off x="10518402" y="12995902"/>
            <a:ext cx="245051" cy="36596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47" name="文字方塊 2" descr="…此儲存格...">
            <a:extLst>
              <a:ext uri="{FF2B5EF4-FFF2-40B4-BE49-F238E27FC236}">
                <a16:creationId xmlns:a16="http://schemas.microsoft.com/office/drawing/2014/main" id="{00000000-0008-0000-0300-000093000000}"/>
              </a:ext>
            </a:extLst>
          </xdr:cNvPr>
          <xdr:cNvSpPr txBox="1">
            <a:spLocks noChangeArrowheads="1"/>
          </xdr:cNvSpPr>
        </xdr:nvSpPr>
        <xdr:spPr bwMode="auto">
          <a:xfrm>
            <a:off x="10427836" y="12125329"/>
            <a:ext cx="657313" cy="94748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48" name="文字方塊 2" descr="...並擷取此多個字元。若要指定字元數，請使用 LEN 函數...">
            <a:extLst>
              <a:ext uri="{FF2B5EF4-FFF2-40B4-BE49-F238E27FC236}">
                <a16:creationId xmlns:a16="http://schemas.microsoft.com/office/drawing/2014/main" id="{00000000-0008-0000-0300-000094000000}"/>
              </a:ext>
            </a:extLst>
          </xdr:cNvPr>
          <xdr:cNvSpPr txBox="1">
            <a:spLocks noChangeArrowheads="1"/>
          </xdr:cNvSpPr>
        </xdr:nvSpPr>
        <xdr:spPr bwMode="auto">
          <a:xfrm>
            <a:off x="11133326" y="12125324"/>
            <a:ext cx="1841625" cy="94748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...並擷取此</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多個字元。若要指定字元數，請使用 LEN 函數...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49" name="左大括弧 148" descr="括號行">
            <a:extLst>
              <a:ext uri="{FF2B5EF4-FFF2-40B4-BE49-F238E27FC236}">
                <a16:creationId xmlns:a16="http://schemas.microsoft.com/office/drawing/2014/main" id="{00000000-0008-0000-0300-000095000000}"/>
              </a:ext>
            </a:extLst>
          </xdr:cNvPr>
          <xdr:cNvSpPr/>
        </xdr:nvSpPr>
        <xdr:spPr>
          <a:xfrm rot="5400000">
            <a:off x="12074790" y="11858200"/>
            <a:ext cx="196343" cy="262390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0" name="文字方塊 100" descr="=RIGHT(C56,LEN(C56)-FIND(&quot; &quot;,C56))">
            <a:extLst>
              <a:ext uri="{FF2B5EF4-FFF2-40B4-BE49-F238E27FC236}">
                <a16:creationId xmlns:a16="http://schemas.microsoft.com/office/drawing/2014/main" id="{00000000-0008-0000-0300-000096000000}"/>
              </a:ext>
            </a:extLst>
          </xdr:cNvPr>
          <xdr:cNvSpPr txBox="1"/>
        </xdr:nvSpPr>
        <xdr:spPr>
          <a:xfrm>
            <a:off x="9508487" y="13204224"/>
            <a:ext cx="5895974" cy="911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marR="0" rtl="0">
              <a:spcBef>
                <a:spcPts val="0"/>
              </a:spcBef>
              <a:spcAft>
                <a:spcPts val="0"/>
              </a:spcAft>
            </a:pPr>
            <a:r>
              <a:rPr lang="zh-tw" sz="1600" b="1" spc="2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=RIGHT(C56,LEN(C56)-FIND("</a:t>
            </a:r>
            <a:r>
              <a:rPr lang="zh-tw" sz="1600" b="1" spc="200" baseline="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 ",C56</a:t>
            </a:r>
            <a:r>
              <a:rPr lang="zh-tw" sz="1600" b="1" spc="200">
                <a:solidFill>
                  <a:srgbClr val="000000"/>
                </a:solidFill>
                <a:effectLst/>
                <a:latin typeface="Microsoft JhengHei UI" panose="020B0604030504040204" pitchFamily="34" charset="-120"/>
                <a:ea typeface="Microsoft JhengHei UI" panose="020B0604030504040204" pitchFamily="34" charset="-120"/>
                <a:cs typeface="Courier New" panose="02070309020205020404" pitchFamily="49" charset="0"/>
              </a:rPr>
              <a:t>))</a:t>
            </a:r>
            <a:endParaRPr lang="en-US" sz="1600" b="1" spc="200">
              <a:effectLst/>
              <a:latin typeface="Microsoft JhengHei UI" panose="020B0604030504040204" pitchFamily="34" charset="-120"/>
              <a:ea typeface="Microsoft JhengHei UI" panose="020B0604030504040204" pitchFamily="34" charset="-120"/>
              <a:cs typeface="Courier New" panose="02070309020205020404" pitchFamily="49" charset="0"/>
            </a:endParaRPr>
          </a:p>
        </xdr:txBody>
      </xdr:sp>
      <xdr:sp macro="" textlink="">
        <xdr:nvSpPr>
          <xdr:cNvPr id="151" name="文字方塊 2">
            <a:extLst>
              <a:ext uri="{FF2B5EF4-FFF2-40B4-BE49-F238E27FC236}">
                <a16:creationId xmlns:a16="http://schemas.microsoft.com/office/drawing/2014/main" id="{00000000-0008-0000-0300-000097000000}"/>
              </a:ext>
            </a:extLst>
          </xdr:cNvPr>
          <xdr:cNvSpPr txBox="1">
            <a:spLocks noChangeArrowheads="1"/>
          </xdr:cNvSpPr>
        </xdr:nvSpPr>
        <xdr:spPr bwMode="auto">
          <a:xfrm>
            <a:off x="9986589" y="13759768"/>
            <a:ext cx="11886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...並取得</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字元數 (字元長度)...</a:t>
            </a: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 </a:t>
            </a:r>
          </a:p>
        </xdr:txBody>
      </xdr:sp>
      <xdr:sp macro="" textlink="">
        <xdr:nvSpPr>
          <xdr:cNvPr id="152" name="左大括弧 151" descr="括號行">
            <a:extLst>
              <a:ext uri="{FF2B5EF4-FFF2-40B4-BE49-F238E27FC236}">
                <a16:creationId xmlns:a16="http://schemas.microsoft.com/office/drawing/2014/main" id="{00000000-0008-0000-0300-000098000000}"/>
              </a:ext>
            </a:extLst>
          </xdr:cNvPr>
          <xdr:cNvSpPr/>
        </xdr:nvSpPr>
        <xdr:spPr>
          <a:xfrm rot="16200000">
            <a:off x="11015692"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3" name="文字方塊 2" descr="...此儲存格...">
            <a:extLst>
              <a:ext uri="{FF2B5EF4-FFF2-40B4-BE49-F238E27FC236}">
                <a16:creationId xmlns:a16="http://schemas.microsoft.com/office/drawing/2014/main" id="{00000000-0008-0000-0300-000099000000}"/>
              </a:ext>
            </a:extLst>
          </xdr:cNvPr>
          <xdr:cNvSpPr txBox="1">
            <a:spLocks noChangeArrowheads="1"/>
          </xdr:cNvSpPr>
        </xdr:nvSpPr>
        <xdr:spPr bwMode="auto">
          <a:xfrm>
            <a:off x="11208000" y="13759768"/>
            <a:ext cx="409040"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p>
        </xdr:txBody>
      </xdr:sp>
      <xdr:sp macro="" textlink="">
        <xdr:nvSpPr>
          <xdr:cNvPr id="154" name="左大括弧 153" descr="括號行">
            <a:extLst>
              <a:ext uri="{FF2B5EF4-FFF2-40B4-BE49-F238E27FC236}">
                <a16:creationId xmlns:a16="http://schemas.microsoft.com/office/drawing/2014/main" id="{00000000-0008-0000-0300-00009A000000}"/>
              </a:ext>
            </a:extLst>
          </xdr:cNvPr>
          <xdr:cNvSpPr/>
        </xdr:nvSpPr>
        <xdr:spPr>
          <a:xfrm rot="16200000">
            <a:off x="11462014" y="13456114"/>
            <a:ext cx="248484" cy="35650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5" name="文字方塊 2" descr="...然後減去以下數值：">
            <a:extLst>
              <a:ext uri="{FF2B5EF4-FFF2-40B4-BE49-F238E27FC236}">
                <a16:creationId xmlns:a16="http://schemas.microsoft.com/office/drawing/2014/main" id="{00000000-0008-0000-0300-00009B000000}"/>
              </a:ext>
            </a:extLst>
          </xdr:cNvPr>
          <xdr:cNvSpPr txBox="1">
            <a:spLocks noChangeArrowheads="1"/>
          </xdr:cNvSpPr>
        </xdr:nvSpPr>
        <xdr:spPr bwMode="auto">
          <a:xfrm>
            <a:off x="11643573" y="13759768"/>
            <a:ext cx="5341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...然後減去以下數值：</a:t>
            </a:r>
          </a:p>
        </xdr:txBody>
      </xdr:sp>
      <xdr:sp macro="" textlink="">
        <xdr:nvSpPr>
          <xdr:cNvPr id="156" name="左大括弧 155" descr="括號行">
            <a:extLst>
              <a:ext uri="{FF2B5EF4-FFF2-40B4-BE49-F238E27FC236}">
                <a16:creationId xmlns:a16="http://schemas.microsoft.com/office/drawing/2014/main" id="{00000000-0008-0000-0300-00009C000000}"/>
              </a:ext>
            </a:extLst>
          </xdr:cNvPr>
          <xdr:cNvSpPr/>
        </xdr:nvSpPr>
        <xdr:spPr>
          <a:xfrm rot="16200000">
            <a:off x="11800273" y="13562103"/>
            <a:ext cx="248484" cy="14453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7" name="文字方塊 2" descr="找出字元位置數...">
            <a:extLst>
              <a:ext uri="{FF2B5EF4-FFF2-40B4-BE49-F238E27FC236}">
                <a16:creationId xmlns:a16="http://schemas.microsoft.com/office/drawing/2014/main" id="{00000000-0008-0000-0300-00009D000000}"/>
              </a:ext>
            </a:extLst>
          </xdr:cNvPr>
          <xdr:cNvSpPr txBox="1">
            <a:spLocks noChangeArrowheads="1"/>
          </xdr:cNvSpPr>
        </xdr:nvSpPr>
        <xdr:spPr bwMode="auto">
          <a:xfrm>
            <a:off x="12213849" y="13759768"/>
            <a:ext cx="539206" cy="1032557"/>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找出</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字元位置數...</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58" name="左大括弧 157" descr="括號行">
            <a:extLst>
              <a:ext uri="{FF2B5EF4-FFF2-40B4-BE49-F238E27FC236}">
                <a16:creationId xmlns:a16="http://schemas.microsoft.com/office/drawing/2014/main" id="{00000000-0008-0000-0300-00009E000000}"/>
              </a:ext>
            </a:extLst>
          </xdr:cNvPr>
          <xdr:cNvSpPr/>
        </xdr:nvSpPr>
        <xdr:spPr>
          <a:xfrm rot="16200000">
            <a:off x="12113624" y="13406820"/>
            <a:ext cx="248484" cy="455098"/>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59" name="文字方塊 2" descr="...第一個空格...">
            <a:extLst>
              <a:ext uri="{FF2B5EF4-FFF2-40B4-BE49-F238E27FC236}">
                <a16:creationId xmlns:a16="http://schemas.microsoft.com/office/drawing/2014/main" id="{00000000-0008-0000-0300-00009F000000}"/>
              </a:ext>
            </a:extLst>
          </xdr:cNvPr>
          <xdr:cNvSpPr txBox="1">
            <a:spLocks noChangeArrowheads="1"/>
          </xdr:cNvSpPr>
        </xdr:nvSpPr>
        <xdr:spPr bwMode="auto">
          <a:xfrm>
            <a:off x="12775413" y="13759768"/>
            <a:ext cx="478963"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...第一個空格...</a:t>
            </a:r>
          </a:p>
        </xdr:txBody>
      </xdr:sp>
      <xdr:sp macro="" textlink="">
        <xdr:nvSpPr>
          <xdr:cNvPr id="160" name="左大括弧 159" descr="括號行">
            <a:extLst>
              <a:ext uri="{FF2B5EF4-FFF2-40B4-BE49-F238E27FC236}">
                <a16:creationId xmlns:a16="http://schemas.microsoft.com/office/drawing/2014/main" id="{00000000-0008-0000-0300-0000A0000000}"/>
              </a:ext>
            </a:extLst>
          </xdr:cNvPr>
          <xdr:cNvSpPr/>
        </xdr:nvSpPr>
        <xdr:spPr>
          <a:xfrm rot="16200000">
            <a:off x="12565553" y="13429792"/>
            <a:ext cx="257175" cy="39143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61" name="文字方塊 2" descr="...此儲存格">
            <a:extLst>
              <a:ext uri="{FF2B5EF4-FFF2-40B4-BE49-F238E27FC236}">
                <a16:creationId xmlns:a16="http://schemas.microsoft.com/office/drawing/2014/main" id="{00000000-0008-0000-0300-0000A1000000}"/>
              </a:ext>
            </a:extLst>
          </xdr:cNvPr>
          <xdr:cNvSpPr txBox="1">
            <a:spLocks noChangeArrowheads="1"/>
          </xdr:cNvSpPr>
        </xdr:nvSpPr>
        <xdr:spPr bwMode="auto">
          <a:xfrm>
            <a:off x="13276149" y="13759768"/>
            <a:ext cx="545294" cy="1037069"/>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rtlCol="0" anchor="t" anchorCtr="0">
            <a:noAutofit/>
          </a:bodyPr>
          <a:lstStyle/>
          <a:p>
            <a:pPr marL="0" marR="0" rtl="0">
              <a:lnSpc>
                <a:spcPct val="107000"/>
              </a:lnSpc>
              <a:spcBef>
                <a:spcPts val="0"/>
              </a:spcBef>
              <a:spcAft>
                <a:spcPts val="800"/>
              </a:spcAft>
            </a:pPr>
            <a:r>
              <a:rPr lang="zh-tw" sz="1100">
                <a:effectLst/>
                <a:latin typeface="Microsoft JhengHei UI" panose="020B0604030504040204" pitchFamily="34" charset="-120"/>
                <a:ea typeface="Microsoft JhengHei UI" panose="020B0604030504040204" pitchFamily="34" charset="-120"/>
                <a:cs typeface="Times New Roman" panose="02020603050405020304" pitchFamily="18" charset="0"/>
              </a:rPr>
              <a:t>...</a:t>
            </a:r>
            <a:r>
              <a:rPr lang="zh-tw" sz="1100" baseline="0">
                <a:effectLst/>
                <a:latin typeface="Microsoft JhengHei UI" panose="020B0604030504040204" pitchFamily="34" charset="-120"/>
                <a:ea typeface="Microsoft JhengHei UI" panose="020B0604030504040204" pitchFamily="34" charset="-120"/>
                <a:cs typeface="Times New Roman" panose="02020603050405020304" pitchFamily="18" charset="0"/>
              </a:rPr>
              <a:t>此儲存格。</a:t>
            </a:r>
            <a:endParaRPr lang="en-US" sz="1100">
              <a:effectLst/>
              <a:latin typeface="Microsoft JhengHei UI" panose="020B0604030504040204" pitchFamily="34" charset="-120"/>
              <a:ea typeface="Microsoft JhengHei UI" panose="020B0604030504040204" pitchFamily="34" charset="-120"/>
              <a:cs typeface="Times New Roman" panose="02020603050405020304" pitchFamily="18" charset="0"/>
            </a:endParaRPr>
          </a:p>
        </xdr:txBody>
      </xdr:sp>
      <xdr:sp macro="" textlink="">
        <xdr:nvSpPr>
          <xdr:cNvPr id="162" name="左大括弧 161" descr="括號行">
            <a:extLst>
              <a:ext uri="{FF2B5EF4-FFF2-40B4-BE49-F238E27FC236}">
                <a16:creationId xmlns:a16="http://schemas.microsoft.com/office/drawing/2014/main" id="{00000000-0008-0000-0300-0000A2000000}"/>
              </a:ext>
            </a:extLst>
          </xdr:cNvPr>
          <xdr:cNvSpPr/>
        </xdr:nvSpPr>
        <xdr:spPr>
          <a:xfrm rot="16200000">
            <a:off x="13085394" y="13419210"/>
            <a:ext cx="248484" cy="449367"/>
          </a:xfrm>
          <a:prstGeom prst="leftBrace">
            <a:avLst>
              <a:gd name="adj1" fmla="val 8333"/>
              <a:gd name="adj2" fmla="val 9000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rtl="0"/>
            <a:endParaRPr lang="en-US">
              <a:latin typeface="Microsoft JhengHei UI" panose="020B0604030504040204" pitchFamily="34" charset="-120"/>
              <a:ea typeface="Microsoft JhengHei UI" panose="020B0604030504040204" pitchFamily="34" charset="-120"/>
            </a:endParaRPr>
          </a:p>
        </xdr:txBody>
      </xdr:sp>
      <xdr:sp macro="" textlink="">
        <xdr:nvSpPr>
          <xdr:cNvPr id="163" name="步驟" descr="運作方式：">
            <a:extLst>
              <a:ext uri="{FF2B5EF4-FFF2-40B4-BE49-F238E27FC236}">
                <a16:creationId xmlns:a16="http://schemas.microsoft.com/office/drawing/2014/main" id="{00000000-0008-0000-0300-0000A3000000}"/>
              </a:ext>
            </a:extLst>
          </xdr:cNvPr>
          <xdr:cNvSpPr txBox="1"/>
        </xdr:nvSpPr>
        <xdr:spPr>
          <a:xfrm>
            <a:off x="9672978" y="11815512"/>
            <a:ext cx="3030715" cy="2983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zh-tw" sz="1200" b="1" i="0" u="none" strike="noStrike" kern="0" cap="none" spc="0" normalizeH="0" baseline="0" noProof="0">
                <a:ln>
                  <a:noFill/>
                </a:ln>
                <a:solidFill>
                  <a:schemeClr val="accent1"/>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運作方式：</a:t>
            </a:r>
            <a:endParaRPr lang="en-US" sz="1050" b="1" i="0" u="none" cap="none" spc="0">
              <a:ln>
                <a:noFill/>
              </a:ln>
              <a:solidFill>
                <a:schemeClr val="accent1"/>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6" name="直線接點 5" descr="裝飾線條">
            <a:extLst>
              <a:ext uri="{FF2B5EF4-FFF2-40B4-BE49-F238E27FC236}">
                <a16:creationId xmlns:a16="http://schemas.microsoft.com/office/drawing/2014/main" id="{00000000-0008-0000-0300-000006000000}"/>
              </a:ext>
            </a:extLst>
          </xdr:cNvPr>
          <xdr:cNvCxnSpPr/>
        </xdr:nvCxnSpPr>
        <xdr:spPr>
          <a:xfrm>
            <a:off x="10229850" y="11668125"/>
            <a:ext cx="0" cy="209550"/>
          </a:xfrm>
          <a:prstGeom prst="line">
            <a:avLst/>
          </a:prstGeom>
          <a:noFill/>
          <a:ln w="19050">
            <a:solidFill>
              <a:srgbClr val="B5D2EC"/>
            </a:solidFill>
          </a:ln>
        </xdr:spPr>
        <xdr:style>
          <a:lnRef idx="2">
            <a:schemeClr val="accent1">
              <a:shade val="50000"/>
            </a:schemeClr>
          </a:lnRef>
          <a:fillRef idx="1">
            <a:schemeClr val="accent1"/>
          </a:fillRef>
          <a:effectRef idx="0">
            <a:schemeClr val="accent1"/>
          </a:effectRef>
          <a:fontRef idx="minor">
            <a:schemeClr val="lt1"/>
          </a:fontRef>
        </xdr:style>
      </xdr:cxnSp>
    </xdr:grpSp>
    <xdr:clientData/>
  </xdr:twoCellAnchor>
  <xdr:twoCellAnchor editAs="oneCell">
    <xdr:from>
      <xdr:col>0</xdr:col>
      <xdr:colOff>398319</xdr:colOff>
      <xdr:row>47</xdr:row>
      <xdr:rowOff>173182</xdr:rowOff>
    </xdr:from>
    <xdr:to>
      <xdr:col>1</xdr:col>
      <xdr:colOff>5080578</xdr:colOff>
      <xdr:row>77</xdr:row>
      <xdr:rowOff>9526</xdr:rowOff>
    </xdr:to>
    <xdr:grpSp>
      <xdr:nvGrpSpPr>
        <xdr:cNvPr id="4" name="使用公式分割欄" descr="Split a column with formulas&#10;You might want to write a formula to split data. This way, if the original data gets updated, then the split data will get updated as well. This is more advanced. But it is possible when using a handful of functions: LEFT, RIGHT, FIND, and LEN. For more information on each of these functions, see the links at the bottom of this sheet. But if you’re curious, here’s how we split cell C56. Make sure to follow along with the diagram on the right as you go through these steps:&#10;Double-click the yellow cell with Yvonne.  We used the LEFT function to extract characters from the left side of cell C56. And to specify the number of characters to extract, we used the FIND function. Read the How it works diagram, and then press ESC when you're done.&#10;Then we created a [Helper column]. This was just to “help” extract the other text in the cell. It’s meant to be temporary and something one could always hide later. &#10;Double-click Francis McKay in the [Helper column]. You’ll see that we used the RIGHT, LEN, and FIND functions to extract characters from the first space, up until the end of the cell. &#10;Double-click Francis. Here we used almost the same formula as in step 1, but instead of extracting characters from C56, it extracts them from F56.&#10;Double-click McKay. This is the same formula as in step 3, but f it extracts characters from G56 instead of cell C56">
          <a:extLst>
            <a:ext uri="{FF2B5EF4-FFF2-40B4-BE49-F238E27FC236}">
              <a16:creationId xmlns:a16="http://schemas.microsoft.com/office/drawing/2014/main" id="{00000000-0008-0000-0300-000004000000}"/>
            </a:ext>
          </a:extLst>
        </xdr:cNvPr>
        <xdr:cNvGrpSpPr/>
      </xdr:nvGrpSpPr>
      <xdr:grpSpPr>
        <a:xfrm>
          <a:off x="398319" y="9698182"/>
          <a:ext cx="5777634" cy="5551344"/>
          <a:chOff x="398319" y="10117281"/>
          <a:chExt cx="5695084" cy="5637069"/>
        </a:xfrm>
      </xdr:grpSpPr>
      <xdr:sp macro="" textlink="">
        <xdr:nvSpPr>
          <xdr:cNvPr id="166" name="矩形 165" descr="背景">
            <a:extLst>
              <a:ext uri="{FF2B5EF4-FFF2-40B4-BE49-F238E27FC236}">
                <a16:creationId xmlns:a16="http://schemas.microsoft.com/office/drawing/2014/main" id="{00000000-0008-0000-0300-0000A6000000}"/>
              </a:ext>
            </a:extLst>
          </xdr:cNvPr>
          <xdr:cNvSpPr/>
        </xdr:nvSpPr>
        <xdr:spPr>
          <a:xfrm>
            <a:off x="398319" y="10117281"/>
            <a:ext cx="5695084" cy="563706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7" name="步驟" descr="使用公式分割欄">
            <a:extLst>
              <a:ext uri="{FF2B5EF4-FFF2-40B4-BE49-F238E27FC236}">
                <a16:creationId xmlns:a16="http://schemas.microsoft.com/office/drawing/2014/main" id="{00000000-0008-0000-0300-0000A7000000}"/>
              </a:ext>
            </a:extLst>
          </xdr:cNvPr>
          <xdr:cNvSpPr txBox="1"/>
        </xdr:nvSpPr>
        <xdr:spPr>
          <a:xfrm>
            <a:off x="630032" y="10245504"/>
            <a:ext cx="5215758"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使用公式分割欄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8" name="直線接點​​ 167" descr="裝飾線條">
            <a:extLst>
              <a:ext uri="{FF2B5EF4-FFF2-40B4-BE49-F238E27FC236}">
                <a16:creationId xmlns:a16="http://schemas.microsoft.com/office/drawing/2014/main" id="{00000000-0008-0000-0300-0000A8000000}"/>
              </a:ext>
            </a:extLst>
          </xdr:cNvPr>
          <xdr:cNvCxnSpPr>
            <a:cxnSpLocks/>
          </xdr:cNvCxnSpPr>
        </xdr:nvCxnSpPr>
        <xdr:spPr>
          <a:xfrm>
            <a:off x="633207" y="10752917"/>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9" name="直線接點​​ 168" descr="裝飾線條">
            <a:extLst>
              <a:ext uri="{FF2B5EF4-FFF2-40B4-BE49-F238E27FC236}">
                <a16:creationId xmlns:a16="http://schemas.microsoft.com/office/drawing/2014/main" id="{00000000-0008-0000-0300-0000A9000000}"/>
              </a:ext>
            </a:extLst>
          </xdr:cNvPr>
          <xdr:cNvCxnSpPr>
            <a:cxnSpLocks/>
          </xdr:cNvCxnSpPr>
        </xdr:nvCxnSpPr>
        <xdr:spPr>
          <a:xfrm>
            <a:off x="633207" y="15488533"/>
            <a:ext cx="521258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70" name="步驟" descr="建議您撰寫公式來分割資料。如此一來，如果原始資料更新，分割的資料也會一併更新。這是進階做法，但使用以下幾種函數也可完成：LEFT、RIGHT、FIND 和 LEN。如需這些函數的詳細資訊，請參閱本工作表底部的連結。不過，如果您想了解，以下是如何分割儲存格 C56 的做法。請務必依照右側的圖表來逐步操作下列步驟：">
            <a:extLst>
              <a:ext uri="{FF2B5EF4-FFF2-40B4-BE49-F238E27FC236}">
                <a16:creationId xmlns:a16="http://schemas.microsoft.com/office/drawing/2014/main" id="{00000000-0008-0000-0300-0000AA000000}"/>
              </a:ext>
            </a:extLst>
          </xdr:cNvPr>
          <xdr:cNvSpPr txBox="1"/>
        </xdr:nvSpPr>
        <xdr:spPr>
          <a:xfrm>
            <a:off x="626884" y="10826527"/>
            <a:ext cx="5211941" cy="1213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建議您撰寫公式來分割資料。如此一來，如果原始資料更新，分割的資料也會一併更新。這是進階做法，但使用以下幾種函數也可完成：LEFT、RIGHT、FIND 和 LEN。如需這些函數的詳細資訊，請參閱本工作表底部的連結。不過，如果您想了解，以下是如何分割儲存格 C56 的做法。請務必依照右側的圖表來逐步操作下列步驟：</a:t>
            </a:r>
          </a:p>
        </xdr:txBody>
      </xdr:sp>
      <xdr:sp macro="" textlink="">
        <xdr:nvSpPr>
          <xdr:cNvPr id="171" name="步驟" descr="Double-click the yellow cell with Yvonne.  We used the LEFT function to extract characters from the left side of cell C56. And to specify the number of characters to extract, we used the FIND function. Read the How it works diagram, and then press ESC when you're done ">
            <a:extLst>
              <a:ext uri="{FF2B5EF4-FFF2-40B4-BE49-F238E27FC236}">
                <a16:creationId xmlns:a16="http://schemas.microsoft.com/office/drawing/2014/main" id="{00000000-0008-0000-0300-0000AB000000}"/>
              </a:ext>
            </a:extLst>
          </xdr:cNvPr>
          <xdr:cNvSpPr txBox="1"/>
        </xdr:nvSpPr>
        <xdr:spPr>
          <a:xfrm>
            <a:off x="1037005" y="11993399"/>
            <a:ext cx="4808785" cy="8593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按兩下包含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[Yvonne]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這個字的黃色儲存格</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我們使用 LEFT 函數來擷取儲存格 C56 中左側的字元。此外，我們還使用 FIND 函數來指定要擷取的字元數。請參閱</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[運作方式]</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圖表，然後在完成後按 ESC。 </a:t>
            </a: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72" name="橢圓​​ 171" descr="1">
            <a:extLst>
              <a:ext uri="{FF2B5EF4-FFF2-40B4-BE49-F238E27FC236}">
                <a16:creationId xmlns:a16="http://schemas.microsoft.com/office/drawing/2014/main" id="{00000000-0008-0000-0300-0000AC000000}"/>
              </a:ext>
            </a:extLst>
          </xdr:cNvPr>
          <xdr:cNvSpPr/>
        </xdr:nvSpPr>
        <xdr:spPr>
          <a:xfrm>
            <a:off x="630033" y="11950902"/>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73" name="步驟" descr="接著，我們建立了 [協助程式欄]，用來「協助」擷取儲存格中的其他文字。這類文字為臨時性，且可在稍後隱藏">
            <a:extLst>
              <a:ext uri="{FF2B5EF4-FFF2-40B4-BE49-F238E27FC236}">
                <a16:creationId xmlns:a16="http://schemas.microsoft.com/office/drawing/2014/main" id="{00000000-0008-0000-0300-0000AD000000}"/>
              </a:ext>
            </a:extLst>
          </xdr:cNvPr>
          <xdr:cNvSpPr txBox="1"/>
        </xdr:nvSpPr>
        <xdr:spPr>
          <a:xfrm>
            <a:off x="1037004" y="12814104"/>
            <a:ext cx="4808786" cy="725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接著，我們建立了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[協助程式欄]</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用來「協助」擷取儲存格中的其他文字。這類文字為臨時性，且可在稍後隱藏。 </a:t>
            </a:r>
          </a:p>
        </xdr:txBody>
      </xdr:sp>
      <xdr:sp macro="" textlink="">
        <xdr:nvSpPr>
          <xdr:cNvPr id="174" name="橢圓​​ 173" descr="2">
            <a:extLst>
              <a:ext uri="{FF2B5EF4-FFF2-40B4-BE49-F238E27FC236}">
                <a16:creationId xmlns:a16="http://schemas.microsoft.com/office/drawing/2014/main" id="{00000000-0008-0000-0300-0000AE000000}"/>
              </a:ext>
            </a:extLst>
          </xdr:cNvPr>
          <xdr:cNvSpPr/>
        </xdr:nvSpPr>
        <xdr:spPr>
          <a:xfrm>
            <a:off x="630033" y="12771604"/>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75" name="步驟" descr="按兩下 [McKay]。這個公式與步驟 3 的公式相同，但它會擷取儲存格 F56 中的字元，而不是儲存格 C56 中的字元">
            <a:extLst>
              <a:ext uri="{FF2B5EF4-FFF2-40B4-BE49-F238E27FC236}">
                <a16:creationId xmlns:a16="http://schemas.microsoft.com/office/drawing/2014/main" id="{00000000-0008-0000-0300-0000AF000000}"/>
              </a:ext>
            </a:extLst>
          </xdr:cNvPr>
          <xdr:cNvSpPr txBox="1"/>
        </xdr:nvSpPr>
        <xdr:spPr>
          <a:xfrm>
            <a:off x="1037004" y="14808301"/>
            <a:ext cx="480878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[McKay]</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這個公式與步驟 3 的公式相同，但它會擷取儲存格 F56 中的字元，而不是儲存格 C56 中的字元。 </a:t>
            </a:r>
          </a:p>
        </xdr:txBody>
      </xdr:sp>
      <xdr:sp macro="" textlink="">
        <xdr:nvSpPr>
          <xdr:cNvPr id="176" name="橢圓​​ 175" descr="5">
            <a:extLst>
              <a:ext uri="{FF2B5EF4-FFF2-40B4-BE49-F238E27FC236}">
                <a16:creationId xmlns:a16="http://schemas.microsoft.com/office/drawing/2014/main" id="{00000000-0008-0000-0300-0000B0000000}"/>
              </a:ext>
            </a:extLst>
          </xdr:cNvPr>
          <xdr:cNvSpPr/>
        </xdr:nvSpPr>
        <xdr:spPr>
          <a:xfrm>
            <a:off x="630033" y="1476580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77" name="步驟" descr="在 [協助程式欄] 中，按兩下 [Francis McKay]。您會看到我們使用 RIGHT、LEN 和 FIND 函數來擷取儲存格中第一個空格到結尾的字元">
            <a:extLst>
              <a:ext uri="{FF2B5EF4-FFF2-40B4-BE49-F238E27FC236}">
                <a16:creationId xmlns:a16="http://schemas.microsoft.com/office/drawing/2014/main" id="{00000000-0008-0000-0300-0000B1000000}"/>
              </a:ext>
            </a:extLst>
          </xdr:cNvPr>
          <xdr:cNvSpPr txBox="1"/>
        </xdr:nvSpPr>
        <xdr:spPr>
          <a:xfrm>
            <a:off x="1037004" y="13470665"/>
            <a:ext cx="4808786"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[協助程式欄] 中，按兩下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[Francis McKay]</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您會看到我們使用 RIGHT、LEN 和 FIND 函數來擷取儲存格中第一個空格到結尾的字元。 </a:t>
            </a:r>
          </a:p>
        </xdr:txBody>
      </xdr:sp>
      <xdr:sp macro="" textlink="">
        <xdr:nvSpPr>
          <xdr:cNvPr id="178" name="橢圓​​ 177" descr="3">
            <a:extLst>
              <a:ext uri="{FF2B5EF4-FFF2-40B4-BE49-F238E27FC236}">
                <a16:creationId xmlns:a16="http://schemas.microsoft.com/office/drawing/2014/main" id="{00000000-0008-0000-0300-0000B2000000}"/>
              </a:ext>
            </a:extLst>
          </xdr:cNvPr>
          <xdr:cNvSpPr/>
        </xdr:nvSpPr>
        <xdr:spPr>
          <a:xfrm>
            <a:off x="630033" y="13428168"/>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79" name="步驟" descr="按兩下 [Francis]。我們在這裡使用與步驟 1 大致相同的公式，但不是擷取儲存格 C56 中的字元，而是擷取儲存格 F56 中的字元">
            <a:extLst>
              <a:ext uri="{FF2B5EF4-FFF2-40B4-BE49-F238E27FC236}">
                <a16:creationId xmlns:a16="http://schemas.microsoft.com/office/drawing/2014/main" id="{00000000-0008-0000-0300-0000B3000000}"/>
              </a:ext>
            </a:extLst>
          </xdr:cNvPr>
          <xdr:cNvSpPr txBox="1"/>
        </xdr:nvSpPr>
        <xdr:spPr>
          <a:xfrm>
            <a:off x="1037004" y="14142042"/>
            <a:ext cx="4808786"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按兩下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[Francis]</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我們在這裡使用與步驟 1 大致相同的公式，但不是擷取儲存格 C56 中的字元，而是擷取儲存格 F56 中的字元。 </a:t>
            </a:r>
          </a:p>
        </xdr:txBody>
      </xdr:sp>
      <xdr:sp macro="" textlink="">
        <xdr:nvSpPr>
          <xdr:cNvPr id="180" name="橢圓​​ 179" descr="4">
            <a:extLst>
              <a:ext uri="{FF2B5EF4-FFF2-40B4-BE49-F238E27FC236}">
                <a16:creationId xmlns:a16="http://schemas.microsoft.com/office/drawing/2014/main" id="{00000000-0008-0000-0300-0000B4000000}"/>
              </a:ext>
            </a:extLst>
          </xdr:cNvPr>
          <xdr:cNvSpPr/>
        </xdr:nvSpPr>
        <xdr:spPr>
          <a:xfrm>
            <a:off x="630033" y="14099543"/>
            <a:ext cx="371531"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clientData/>
  </xdr:twoCellAnchor>
  <xdr:twoCellAnchor editAs="oneCell">
    <xdr:from>
      <xdr:col>0</xdr:col>
      <xdr:colOff>400050</xdr:colOff>
      <xdr:row>77</xdr:row>
      <xdr:rowOff>152400</xdr:rowOff>
    </xdr:from>
    <xdr:to>
      <xdr:col>1</xdr:col>
      <xdr:colOff>5083175</xdr:colOff>
      <xdr:row>102</xdr:row>
      <xdr:rowOff>142875</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300-000005000000}"/>
            </a:ext>
          </a:extLst>
        </xdr:cNvPr>
        <xdr:cNvGrpSpPr/>
      </xdr:nvGrpSpPr>
      <xdr:grpSpPr>
        <a:xfrm>
          <a:off x="400050" y="15392400"/>
          <a:ext cx="5778500" cy="4752975"/>
          <a:chOff x="400050" y="15944850"/>
          <a:chExt cx="5695950" cy="4619625"/>
        </a:xfrm>
      </xdr:grpSpPr>
      <xdr:sp macro="" textlink="">
        <xdr:nvSpPr>
          <xdr:cNvPr id="198" name="矩形 197" descr="背景">
            <a:extLst>
              <a:ext uri="{FF2B5EF4-FFF2-40B4-BE49-F238E27FC236}">
                <a16:creationId xmlns:a16="http://schemas.microsoft.com/office/drawing/2014/main" id="{00000000-0008-0000-0300-0000C6000000}"/>
              </a:ext>
            </a:extLst>
          </xdr:cNvPr>
          <xdr:cNvSpPr/>
        </xdr:nvSpPr>
        <xdr:spPr>
          <a:xfrm>
            <a:off x="400050" y="1594485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99" name="步驟" descr="Web 上的更多資訊">
            <a:extLst>
              <a:ext uri="{FF2B5EF4-FFF2-40B4-BE49-F238E27FC236}">
                <a16:creationId xmlns:a16="http://schemas.microsoft.com/office/drawing/2014/main" id="{00000000-0008-0000-0300-0000C7000000}"/>
              </a:ext>
            </a:extLst>
          </xdr:cNvPr>
          <xdr:cNvSpPr txBox="1"/>
        </xdr:nvSpPr>
        <xdr:spPr>
          <a:xfrm>
            <a:off x="631798" y="160635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200" name="直線接點 199" descr="裝飾線條">
            <a:extLst>
              <a:ext uri="{FF2B5EF4-FFF2-40B4-BE49-F238E27FC236}">
                <a16:creationId xmlns:a16="http://schemas.microsoft.com/office/drawing/2014/main" id="{00000000-0008-0000-0300-0000C8000000}"/>
              </a:ext>
            </a:extLst>
          </xdr:cNvPr>
          <xdr:cNvCxnSpPr>
            <a:cxnSpLocks/>
          </xdr:cNvCxnSpPr>
        </xdr:nvCxnSpPr>
        <xdr:spPr>
          <a:xfrm>
            <a:off x="634974" y="165709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1" name="[下一步] 按鈕" descr="回到頁首，附有移至儲存格 A1 的超連結">
            <a:hlinkClick xmlns:r="http://schemas.openxmlformats.org/officeDocument/2006/relationships" r:id="rId3" tooltip="選取以回到此工作表中的儲存格 A1"/>
            <a:extLst>
              <a:ext uri="{FF2B5EF4-FFF2-40B4-BE49-F238E27FC236}">
                <a16:creationId xmlns:a16="http://schemas.microsoft.com/office/drawing/2014/main" id="{00000000-0008-0000-0300-0000C9000000}"/>
              </a:ext>
            </a:extLst>
          </xdr:cNvPr>
          <xdr:cNvSpPr/>
        </xdr:nvSpPr>
        <xdr:spPr>
          <a:xfrm>
            <a:off x="634974" y="19787357"/>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202" name="直線接點 201" descr="裝飾線條">
            <a:extLst>
              <a:ext uri="{FF2B5EF4-FFF2-40B4-BE49-F238E27FC236}">
                <a16:creationId xmlns:a16="http://schemas.microsoft.com/office/drawing/2014/main" id="{00000000-0008-0000-0300-0000CA000000}"/>
              </a:ext>
            </a:extLst>
          </xdr:cNvPr>
          <xdr:cNvCxnSpPr>
            <a:cxnSpLocks/>
          </xdr:cNvCxnSpPr>
        </xdr:nvCxnSpPr>
        <xdr:spPr>
          <a:xfrm>
            <a:off x="634974" y="1952625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300-0000CB000000}"/>
              </a:ext>
            </a:extLst>
          </xdr:cNvPr>
          <xdr:cNvSpPr/>
        </xdr:nvSpPr>
        <xdr:spPr>
          <a:xfrm>
            <a:off x="4693920" y="19977858"/>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204" name="步驟" descr="將文字分割成不同的欄，附有移至 Web 的超連結">
            <a:hlinkClick xmlns:r="http://schemas.openxmlformats.org/officeDocument/2006/relationships" r:id="rId5" tooltip="選取以從 Web 了解如何將文字分割成不同的欄"/>
            <a:extLst>
              <a:ext uri="{FF2B5EF4-FFF2-40B4-BE49-F238E27FC236}">
                <a16:creationId xmlns:a16="http://schemas.microsoft.com/office/drawing/2014/main" id="{00000000-0008-0000-0300-0000CC000000}"/>
              </a:ext>
            </a:extLst>
          </xdr:cNvPr>
          <xdr:cNvSpPr txBox="1"/>
        </xdr:nvSpPr>
        <xdr:spPr>
          <a:xfrm>
            <a:off x="1038833" y="1673969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將文字分割成不同的欄</a:t>
            </a:r>
          </a:p>
        </xdr:txBody>
      </xdr:sp>
      <xdr:pic>
        <xdr:nvPicPr>
          <xdr:cNvPr id="205" name="圖形 22" descr="箭號">
            <a:hlinkClick xmlns:r="http://schemas.openxmlformats.org/officeDocument/2006/relationships" r:id="rId5" tooltip="選取以從網路深入了解"/>
            <a:extLst>
              <a:ext uri="{FF2B5EF4-FFF2-40B4-BE49-F238E27FC236}">
                <a16:creationId xmlns:a16="http://schemas.microsoft.com/office/drawing/2014/main" id="{00000000-0008-0000-0300-0000CD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6644422"/>
            <a:ext cx="454554" cy="448472"/>
          </a:xfrm>
          <a:prstGeom prst="rect">
            <a:avLst/>
          </a:prstGeom>
        </xdr:spPr>
      </xdr:pic>
      <xdr:sp macro="" textlink="">
        <xdr:nvSpPr>
          <xdr:cNvPr id="206" name="步驟" descr="全面了解 [取得及轉換]，附有移至 Web 的超連結">
            <a:hlinkClick xmlns:r="http://schemas.openxmlformats.org/officeDocument/2006/relationships" r:id="rId8" tooltip="選取以從 Web 全面了解 [取得及轉換]"/>
            <a:extLst>
              <a:ext uri="{FF2B5EF4-FFF2-40B4-BE49-F238E27FC236}">
                <a16:creationId xmlns:a16="http://schemas.microsoft.com/office/drawing/2014/main" id="{00000000-0008-0000-0300-0000CE000000}"/>
              </a:ext>
            </a:extLst>
          </xdr:cNvPr>
          <xdr:cNvSpPr txBox="1"/>
        </xdr:nvSpPr>
        <xdr:spPr>
          <a:xfrm>
            <a:off x="1038833" y="1720430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[取得及轉換] </a:t>
            </a:r>
          </a:p>
          <a:p>
            <a:pPr lvl="0" rtl="0">
              <a:defRPr/>
            </a:pP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207"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300-0000C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102276"/>
            <a:ext cx="454554" cy="448472"/>
          </a:xfrm>
          <a:prstGeom prst="rect">
            <a:avLst/>
          </a:prstGeom>
        </xdr:spPr>
      </xdr:pic>
      <xdr:sp macro="" textlink="">
        <xdr:nvSpPr>
          <xdr:cNvPr id="208" name="步驟" descr="全面了解 LEFT 函數，附有移至 Web 的超連結">
            <a:hlinkClick xmlns:r="http://schemas.openxmlformats.org/officeDocument/2006/relationships" r:id="rId9" tooltip="選取以從 Web 全面了解 LEFT 函數"/>
            <a:extLst>
              <a:ext uri="{FF2B5EF4-FFF2-40B4-BE49-F238E27FC236}">
                <a16:creationId xmlns:a16="http://schemas.microsoft.com/office/drawing/2014/main" id="{00000000-0008-0000-0300-0000D0000000}"/>
              </a:ext>
            </a:extLst>
          </xdr:cNvPr>
          <xdr:cNvSpPr txBox="1"/>
        </xdr:nvSpPr>
        <xdr:spPr>
          <a:xfrm>
            <a:off x="1038833" y="1767147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LEFT 函數</a:t>
            </a:r>
          </a:p>
        </xdr:txBody>
      </xdr:sp>
      <xdr:pic>
        <xdr:nvPicPr>
          <xdr:cNvPr id="209" name="圖形 22" descr="箭號">
            <a:hlinkClick xmlns:r="http://schemas.openxmlformats.org/officeDocument/2006/relationships" r:id="rId9" tooltip="選取以從網路深入了解"/>
            <a:extLst>
              <a:ext uri="{FF2B5EF4-FFF2-40B4-BE49-F238E27FC236}">
                <a16:creationId xmlns:a16="http://schemas.microsoft.com/office/drawing/2014/main" id="{00000000-0008-0000-0300-0000D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7569442"/>
            <a:ext cx="454554" cy="448472"/>
          </a:xfrm>
          <a:prstGeom prst="rect">
            <a:avLst/>
          </a:prstGeom>
        </xdr:spPr>
      </xdr:pic>
      <xdr:sp macro="" textlink="">
        <xdr:nvSpPr>
          <xdr:cNvPr id="211" name="步驟" descr="全面了解 RIGHT 函數，附有移至 Web 的超連結">
            <a:hlinkClick xmlns:r="http://schemas.openxmlformats.org/officeDocument/2006/relationships" r:id="rId10" tooltip="選取以從 Web 全面了解 RIGHT 函數"/>
            <a:extLst>
              <a:ext uri="{FF2B5EF4-FFF2-40B4-BE49-F238E27FC236}">
                <a16:creationId xmlns:a16="http://schemas.microsoft.com/office/drawing/2014/main" id="{00000000-0008-0000-0300-0000D3000000}"/>
              </a:ext>
            </a:extLst>
          </xdr:cNvPr>
          <xdr:cNvSpPr txBox="1"/>
        </xdr:nvSpPr>
        <xdr:spPr>
          <a:xfrm>
            <a:off x="1038833" y="18130349"/>
            <a:ext cx="21615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RIGHT 函數</a:t>
            </a:r>
          </a:p>
        </xdr:txBody>
      </xdr:sp>
      <xdr:pic>
        <xdr:nvPicPr>
          <xdr:cNvPr id="212"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300-0000D4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035072"/>
            <a:ext cx="454554" cy="448472"/>
          </a:xfrm>
          <a:prstGeom prst="rect">
            <a:avLst/>
          </a:prstGeom>
        </xdr:spPr>
      </xdr:pic>
      <xdr:sp macro="" textlink="">
        <xdr:nvSpPr>
          <xdr:cNvPr id="213" name="步驟" descr="全面了解 FIND 函數，附有移至 Web 的超連結">
            <a:hlinkClick xmlns:r="http://schemas.openxmlformats.org/officeDocument/2006/relationships" r:id="rId11" tooltip="選取以從 Web 全面了解 FIND 函數"/>
            <a:extLst>
              <a:ext uri="{FF2B5EF4-FFF2-40B4-BE49-F238E27FC236}">
                <a16:creationId xmlns:a16="http://schemas.microsoft.com/office/drawing/2014/main" id="{00000000-0008-0000-0300-0000D5000000}"/>
              </a:ext>
            </a:extLst>
          </xdr:cNvPr>
          <xdr:cNvSpPr txBox="1"/>
        </xdr:nvSpPr>
        <xdr:spPr>
          <a:xfrm>
            <a:off x="1038833" y="18594956"/>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FIND 函數</a:t>
            </a:r>
          </a:p>
        </xdr:txBody>
      </xdr:sp>
      <xdr:pic>
        <xdr:nvPicPr>
          <xdr:cNvPr id="214"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300-0000D6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492926"/>
            <a:ext cx="454554" cy="448472"/>
          </a:xfrm>
          <a:prstGeom prst="rect">
            <a:avLst/>
          </a:prstGeom>
        </xdr:spPr>
      </xdr:pic>
      <xdr:sp macro="" textlink="">
        <xdr:nvSpPr>
          <xdr:cNvPr id="215" name="步驟" descr="全面了解 LEN 函數，附有移至 Web 的超連結">
            <a:hlinkClick xmlns:r="http://schemas.openxmlformats.org/officeDocument/2006/relationships" r:id="rId12" tooltip="選取以從 Web 全面了解 LEN 函數"/>
            <a:extLst>
              <a:ext uri="{FF2B5EF4-FFF2-40B4-BE49-F238E27FC236}">
                <a16:creationId xmlns:a16="http://schemas.microsoft.com/office/drawing/2014/main" id="{00000000-0008-0000-0300-0000D7000000}"/>
              </a:ext>
            </a:extLst>
          </xdr:cNvPr>
          <xdr:cNvSpPr txBox="1"/>
        </xdr:nvSpPr>
        <xdr:spPr>
          <a:xfrm>
            <a:off x="1038833" y="19062122"/>
            <a:ext cx="21615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LEN 函數</a:t>
            </a:r>
          </a:p>
        </xdr:txBody>
      </xdr:sp>
      <xdr:pic>
        <xdr:nvPicPr>
          <xdr:cNvPr id="216"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300-0000D8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11553" y="18960092"/>
            <a:ext cx="454554" cy="448472"/>
          </a:xfrm>
          <a:prstGeom prst="rect">
            <a:avLst/>
          </a:prstGeom>
        </xdr:spPr>
      </xdr:pic>
    </xdr:grpSp>
    <xdr:clientData/>
  </xdr:twoCellAnchor>
  <xdr:twoCellAnchor editAs="oneCell">
    <xdr:from>
      <xdr:col>0</xdr:col>
      <xdr:colOff>390525</xdr:colOff>
      <xdr:row>26</xdr:row>
      <xdr:rowOff>0</xdr:rowOff>
    </xdr:from>
    <xdr:to>
      <xdr:col>1</xdr:col>
      <xdr:colOff>5073650</xdr:colOff>
      <xdr:row>46</xdr:row>
      <xdr:rowOff>130174</xdr:rowOff>
    </xdr:to>
    <xdr:grpSp>
      <xdr:nvGrpSpPr>
        <xdr:cNvPr id="3" name="依據分隔符號分割欄" descr="Split a column based on delimiters&#10;Flash Fill is pretty handy. But if you want to split data into more than one column all at once, then it's not the best tool for the job. Try Text to Columns in this situation:&#10;Click and drag to select the cells from Nancy all the way down to Yvonne.&#10;On the Data tab, click Text to Columns. Make sure that Delimited is selected, and then click Next.&#10;Under Delimiters, make sure that Comma is the only checkbox selected, and then click Next.&#10;Click the General option. &#10;Finally, click inside the Destination box and type $D$32. Then click Finish">
          <a:extLst>
            <a:ext uri="{FF2B5EF4-FFF2-40B4-BE49-F238E27FC236}">
              <a16:creationId xmlns:a16="http://schemas.microsoft.com/office/drawing/2014/main" id="{00000000-0008-0000-0300-000003000000}"/>
            </a:ext>
          </a:extLst>
        </xdr:cNvPr>
        <xdr:cNvGrpSpPr/>
      </xdr:nvGrpSpPr>
      <xdr:grpSpPr>
        <a:xfrm>
          <a:off x="390525" y="5524500"/>
          <a:ext cx="5778500" cy="3940174"/>
          <a:chOff x="390525" y="5943600"/>
          <a:chExt cx="5695950" cy="3940174"/>
        </a:xfrm>
      </xdr:grpSpPr>
      <xdr:sp macro="" textlink="">
        <xdr:nvSpPr>
          <xdr:cNvPr id="181" name="矩形 180" descr="背景">
            <a:extLst>
              <a:ext uri="{FF2B5EF4-FFF2-40B4-BE49-F238E27FC236}">
                <a16:creationId xmlns:a16="http://schemas.microsoft.com/office/drawing/2014/main" id="{00000000-0008-0000-0300-0000B5000000}"/>
              </a:ext>
            </a:extLst>
          </xdr:cNvPr>
          <xdr:cNvSpPr/>
        </xdr:nvSpPr>
        <xdr:spPr>
          <a:xfrm>
            <a:off x="390525" y="5943600"/>
            <a:ext cx="5695950" cy="39401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82" name="步驟" descr="依據分隔符號分割欄">
            <a:extLst>
              <a:ext uri="{FF2B5EF4-FFF2-40B4-BE49-F238E27FC236}">
                <a16:creationId xmlns:a16="http://schemas.microsoft.com/office/drawing/2014/main" id="{00000000-0008-0000-0300-0000B6000000}"/>
              </a:ext>
            </a:extLst>
          </xdr:cNvPr>
          <xdr:cNvSpPr txBox="1"/>
        </xdr:nvSpPr>
        <xdr:spPr>
          <a:xfrm>
            <a:off x="622273" y="601467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依據分隔符號分割欄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83" name="直線接點​​ 182" descr="裝飾線條">
            <a:extLst>
              <a:ext uri="{FF2B5EF4-FFF2-40B4-BE49-F238E27FC236}">
                <a16:creationId xmlns:a16="http://schemas.microsoft.com/office/drawing/2014/main" id="{00000000-0008-0000-0300-0000B7000000}"/>
              </a:ext>
            </a:extLst>
          </xdr:cNvPr>
          <xdr:cNvCxnSpPr>
            <a:cxnSpLocks/>
          </xdr:cNvCxnSpPr>
        </xdr:nvCxnSpPr>
        <xdr:spPr>
          <a:xfrm>
            <a:off x="625449" y="65220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84" name="直線接點 183" descr="裝飾線條">
            <a:extLst>
              <a:ext uri="{FF2B5EF4-FFF2-40B4-BE49-F238E27FC236}">
                <a16:creationId xmlns:a16="http://schemas.microsoft.com/office/drawing/2014/main" id="{00000000-0008-0000-0300-0000B8000000}"/>
              </a:ext>
            </a:extLst>
          </xdr:cNvPr>
          <xdr:cNvCxnSpPr>
            <a:cxnSpLocks/>
          </xdr:cNvCxnSpPr>
        </xdr:nvCxnSpPr>
        <xdr:spPr>
          <a:xfrm>
            <a:off x="625449" y="965091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5" name="步驟" descr="[快速填入] 非常實用，但如果您想一次將資料分割成多個欄，就不建議使用這項工具。在這種情況，可試試 [資料剖析]：">
            <a:extLst>
              <a:ext uri="{FF2B5EF4-FFF2-40B4-BE49-F238E27FC236}">
                <a16:creationId xmlns:a16="http://schemas.microsoft.com/office/drawing/2014/main" id="{00000000-0008-0000-0300-0000B9000000}"/>
              </a:ext>
            </a:extLst>
          </xdr:cNvPr>
          <xdr:cNvSpPr txBox="1"/>
        </xdr:nvSpPr>
        <xdr:spPr>
          <a:xfrm>
            <a:off x="619125" y="6595695"/>
            <a:ext cx="5267325" cy="4200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非常實用，但如果您想一次將資料分割成多個欄，就不建議使用這項工具。</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在這種情況，可試試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[資料剖析]</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86" name="步驟" descr="按一下並拖曳來選取從 Nancy 一直到 Yvonne 的所有儲存格">
            <a:extLst>
              <a:ext uri="{FF2B5EF4-FFF2-40B4-BE49-F238E27FC236}">
                <a16:creationId xmlns:a16="http://schemas.microsoft.com/office/drawing/2014/main" id="{00000000-0008-0000-0300-0000BA000000}"/>
              </a:ext>
            </a:extLst>
          </xdr:cNvPr>
          <xdr:cNvSpPr txBox="1"/>
        </xdr:nvSpPr>
        <xdr:spPr>
          <a:xfrm>
            <a:off x="1029308" y="7160591"/>
            <a:ext cx="4809516" cy="4975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按一下並拖曳來選取從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[Nancy]</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一直到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[Yvonne]</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的所有儲存格。</a:t>
            </a:r>
          </a:p>
        </xdr:txBody>
      </xdr:sp>
      <xdr:sp macro="" textlink="">
        <xdr:nvSpPr>
          <xdr:cNvPr id="187" name="橢圓​​ 186" descr="1">
            <a:extLst>
              <a:ext uri="{FF2B5EF4-FFF2-40B4-BE49-F238E27FC236}">
                <a16:creationId xmlns:a16="http://schemas.microsoft.com/office/drawing/2014/main" id="{00000000-0008-0000-0300-0000BB000000}"/>
              </a:ext>
            </a:extLst>
          </xdr:cNvPr>
          <xdr:cNvSpPr/>
        </xdr:nvSpPr>
        <xdr:spPr>
          <a:xfrm>
            <a:off x="622274" y="711809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88" name="步驟" descr="在 [資料] 索引標籤上，按一下 [資料剖析]。請確認已選取 [分隔符號]，然後按一下 [下一步]">
            <a:extLst>
              <a:ext uri="{FF2B5EF4-FFF2-40B4-BE49-F238E27FC236}">
                <a16:creationId xmlns:a16="http://schemas.microsoft.com/office/drawing/2014/main" id="{00000000-0008-0000-0300-0000BC000000}"/>
              </a:ext>
            </a:extLst>
          </xdr:cNvPr>
          <xdr:cNvSpPr txBox="1"/>
        </xdr:nvSpPr>
        <xdr:spPr>
          <a:xfrm>
            <a:off x="1029307" y="7566157"/>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[資料剖析]。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請確認已選取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[分隔符號]</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[下一步]。</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89" name="橢圓​​ 188" descr="2">
            <a:extLst>
              <a:ext uri="{FF2B5EF4-FFF2-40B4-BE49-F238E27FC236}">
                <a16:creationId xmlns:a16="http://schemas.microsoft.com/office/drawing/2014/main" id="{00000000-0008-0000-0300-0000BD000000}"/>
              </a:ext>
            </a:extLst>
          </xdr:cNvPr>
          <xdr:cNvSpPr/>
        </xdr:nvSpPr>
        <xdr:spPr>
          <a:xfrm>
            <a:off x="622274" y="75903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91" name="步驟" descr="在 [分隔符號] 底下，請務必只選取 [逗點] 核取方塊，然後按一下 [下一步]">
            <a:extLst>
              <a:ext uri="{FF2B5EF4-FFF2-40B4-BE49-F238E27FC236}">
                <a16:creationId xmlns:a16="http://schemas.microsoft.com/office/drawing/2014/main" id="{00000000-0008-0000-0300-0000BF000000}"/>
              </a:ext>
            </a:extLst>
          </xdr:cNvPr>
          <xdr:cNvSpPr txBox="1"/>
        </xdr:nvSpPr>
        <xdr:spPr>
          <a:xfrm>
            <a:off x="1029307" y="8148680"/>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[分隔符號]</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底下，請務必只選取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[逗點]</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核取方塊，然後按一下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[下一步]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92" name="橢圓​​ 191" descr="3">
            <a:extLst>
              <a:ext uri="{FF2B5EF4-FFF2-40B4-BE49-F238E27FC236}">
                <a16:creationId xmlns:a16="http://schemas.microsoft.com/office/drawing/2014/main" id="{00000000-0008-0000-0300-0000C0000000}"/>
              </a:ext>
            </a:extLst>
          </xdr:cNvPr>
          <xdr:cNvSpPr/>
        </xdr:nvSpPr>
        <xdr:spPr>
          <a:xfrm>
            <a:off x="622274" y="81061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93" name="步驟" descr="按一下 [一般] 選項">
            <a:extLst>
              <a:ext uri="{FF2B5EF4-FFF2-40B4-BE49-F238E27FC236}">
                <a16:creationId xmlns:a16="http://schemas.microsoft.com/office/drawing/2014/main" id="{00000000-0008-0000-0300-0000C1000000}"/>
              </a:ext>
            </a:extLst>
          </xdr:cNvPr>
          <xdr:cNvSpPr txBox="1"/>
        </xdr:nvSpPr>
        <xdr:spPr>
          <a:xfrm>
            <a:off x="1029307" y="8661097"/>
            <a:ext cx="4809517" cy="387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[一般]</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選項</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94" name="橢圓​​ 193" descr="4">
            <a:extLst>
              <a:ext uri="{FF2B5EF4-FFF2-40B4-BE49-F238E27FC236}">
                <a16:creationId xmlns:a16="http://schemas.microsoft.com/office/drawing/2014/main" id="{00000000-0008-0000-0300-0000C2000000}"/>
              </a:ext>
            </a:extLst>
          </xdr:cNvPr>
          <xdr:cNvSpPr/>
        </xdr:nvSpPr>
        <xdr:spPr>
          <a:xfrm>
            <a:off x="622274" y="86185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95" name="步驟" descr="最後，在 [目標儲存格] 方塊內按一下並輸入 $D$32，然後按一下 [完成]">
            <a:extLst>
              <a:ext uri="{FF2B5EF4-FFF2-40B4-BE49-F238E27FC236}">
                <a16:creationId xmlns:a16="http://schemas.microsoft.com/office/drawing/2014/main" id="{00000000-0008-0000-0300-0000C3000000}"/>
              </a:ext>
            </a:extLst>
          </xdr:cNvPr>
          <xdr:cNvSpPr txBox="1"/>
        </xdr:nvSpPr>
        <xdr:spPr>
          <a:xfrm>
            <a:off x="1029307" y="9127586"/>
            <a:ext cx="4809517" cy="445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最後，在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[目標儲存格]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方塊內按一下並輸入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$D$32</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[完成]</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96" name="橢圓​​ 195" descr="5">
            <a:extLst>
              <a:ext uri="{FF2B5EF4-FFF2-40B4-BE49-F238E27FC236}">
                <a16:creationId xmlns:a16="http://schemas.microsoft.com/office/drawing/2014/main" id="{00000000-0008-0000-0300-0000C4000000}"/>
              </a:ext>
            </a:extLst>
          </xdr:cNvPr>
          <xdr:cNvSpPr/>
        </xdr:nvSpPr>
        <xdr:spPr>
          <a:xfrm>
            <a:off x="622274" y="90850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2</xdr:col>
      <xdr:colOff>2105025</xdr:colOff>
      <xdr:row>39</xdr:row>
      <xdr:rowOff>171449</xdr:rowOff>
    </xdr:from>
    <xdr:to>
      <xdr:col>5</xdr:col>
      <xdr:colOff>1174750</xdr:colOff>
      <xdr:row>48</xdr:row>
      <xdr:rowOff>161925</xdr:rowOff>
    </xdr:to>
    <xdr:grpSp>
      <xdr:nvGrpSpPr>
        <xdr:cNvPr id="2" name="值得探究" descr="值得探究：還有另一種處理資料的方式。您可以查詢外部來源，然後分割來自該來源的資料。這個動作只要執行一次，之後可更新該資料且輕鬆使用。想了解嗎？按一下 [資料] 索引標籤，然後瀏覽 [取得及轉換] 區域中的選項。或者參閱本工作表底部的連結">
          <a:extLst>
            <a:ext uri="{FF2B5EF4-FFF2-40B4-BE49-F238E27FC236}">
              <a16:creationId xmlns:a16="http://schemas.microsoft.com/office/drawing/2014/main" id="{00000000-0008-0000-0300-000002000000}"/>
            </a:ext>
          </a:extLst>
        </xdr:cNvPr>
        <xdr:cNvGrpSpPr/>
      </xdr:nvGrpSpPr>
      <xdr:grpSpPr>
        <a:xfrm>
          <a:off x="8648700" y="8172449"/>
          <a:ext cx="3708400" cy="1704976"/>
          <a:chOff x="8477250" y="8591549"/>
          <a:chExt cx="3314700" cy="1504951"/>
        </a:xfrm>
      </xdr:grpSpPr>
      <xdr:pic>
        <xdr:nvPicPr>
          <xdr:cNvPr id="227" name="圖形 9" descr="健行">
            <a:extLst>
              <a:ext uri="{FF2B5EF4-FFF2-40B4-BE49-F238E27FC236}">
                <a16:creationId xmlns:a16="http://schemas.microsoft.com/office/drawing/2014/main" id="{00000000-0008-0000-0300-0000E300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8477250" y="8682899"/>
            <a:ext cx="420378" cy="420378"/>
          </a:xfrm>
          <a:prstGeom prst="rect">
            <a:avLst/>
          </a:prstGeom>
        </xdr:spPr>
      </xdr:pic>
      <xdr:sp macro="" textlink="">
        <xdr:nvSpPr>
          <xdr:cNvPr id="228" name="步驟" descr="WORTH EXPLORING&#10;There's another way of working with data. You can query an external source, and you can split the data that comes from the source. You do that once, and the data is refreshable and easy to work with from that moment on. Curious? Click the Data tab, and then explore the options in the Get &amp; Transform area. Or see the link at the bottom of this sheet">
            <a:extLst>
              <a:ext uri="{FF2B5EF4-FFF2-40B4-BE49-F238E27FC236}">
                <a16:creationId xmlns:a16="http://schemas.microsoft.com/office/drawing/2014/main" id="{00000000-0008-0000-0300-0000E4000000}"/>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值得探究</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還有另一種處理資料的方式。您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可以查詢外部來源，然後分割來自該來源的資料。這個動作只要執行一次，之後可更新該資料且輕鬆使用。想了解嗎？按一下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索引標籤，然後瀏覽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[取得及轉換</a:t>
            </a:r>
            <a:r>
              <a:rPr lang="zh-TW" altLang="en-US"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區域中的選項。或者參閱本工作表底部的連結。</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323850</xdr:colOff>
      <xdr:row>0</xdr:row>
      <xdr:rowOff>257175</xdr:rowOff>
    </xdr:from>
    <xdr:to>
      <xdr:col>1</xdr:col>
      <xdr:colOff>5006975</xdr:colOff>
      <xdr:row>22</xdr:row>
      <xdr:rowOff>114300</xdr:rowOff>
    </xdr:to>
    <xdr:grpSp>
      <xdr:nvGrpSpPr>
        <xdr:cNvPr id="13" name="群組 12" descr="Data stuffed into one column? Split it.&#10;In the cells under First name, type the first names that are in the Email column: Nancy, Andy, and so on. &#10;When you see the faded list of suggestions, press Enter right away&#10;This list of suggestions is called Flash Fill. Flash Fill detects when you type a consistent pattern, and provides suggestions to fill the cells with. When you see the faded list, that's your cue to press Enter.&#10;Try another way to Flash Fill: Click the cell with Smith. &#10;Click Home &gt; Fill &gt; Flash Fill. Now the last names are in their own column.&#10;Dive down for more detail &#10;Next step&#10;">
          <a:extLst>
            <a:ext uri="{FF2B5EF4-FFF2-40B4-BE49-F238E27FC236}">
              <a16:creationId xmlns:a16="http://schemas.microsoft.com/office/drawing/2014/main" id="{1FE5D7EF-C5C1-42CB-8FC8-212383502105}"/>
            </a:ext>
          </a:extLst>
        </xdr:cNvPr>
        <xdr:cNvGrpSpPr/>
      </xdr:nvGrpSpPr>
      <xdr:grpSpPr>
        <a:xfrm>
          <a:off x="323850" y="257175"/>
          <a:ext cx="5778500" cy="4619625"/>
          <a:chOff x="323850" y="257175"/>
          <a:chExt cx="5695950" cy="4619625"/>
        </a:xfrm>
      </xdr:grpSpPr>
      <xdr:grpSp>
        <xdr:nvGrpSpPr>
          <xdr:cNvPr id="10" name="群組 9">
            <a:extLst>
              <a:ext uri="{FF2B5EF4-FFF2-40B4-BE49-F238E27FC236}">
                <a16:creationId xmlns:a16="http://schemas.microsoft.com/office/drawing/2014/main" id="{F13F9B2E-C4F3-4E13-8DDF-A418488030B5}"/>
              </a:ext>
            </a:extLst>
          </xdr:cNvPr>
          <xdr:cNvGrpSpPr/>
        </xdr:nvGrpSpPr>
        <xdr:grpSpPr>
          <a:xfrm>
            <a:off x="323850" y="257175"/>
            <a:ext cx="5695950" cy="4619625"/>
            <a:chOff x="323850" y="257175"/>
            <a:chExt cx="5695950" cy="4619625"/>
          </a:xfrm>
        </xdr:grpSpPr>
        <xdr:sp macro="" textlink="">
          <xdr:nvSpPr>
            <xdr:cNvPr id="73" name="矩形 72" descr="背景">
              <a:extLst>
                <a:ext uri="{FF2B5EF4-FFF2-40B4-BE49-F238E27FC236}">
                  <a16:creationId xmlns:a16="http://schemas.microsoft.com/office/drawing/2014/main" id="{00000000-0008-0000-0300-000049000000}"/>
                </a:ext>
              </a:extLst>
            </xdr:cNvPr>
            <xdr:cNvSpPr/>
          </xdr:nvSpPr>
          <xdr:spPr>
            <a:xfrm>
              <a:off x="323850" y="257175"/>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4" name="步驟" descr="如果資料塞滿一欄，請分割欄">
              <a:extLst>
                <a:ext uri="{FF2B5EF4-FFF2-40B4-BE49-F238E27FC236}">
                  <a16:creationId xmlns:a16="http://schemas.microsoft.com/office/drawing/2014/main" id="{00000000-0008-0000-0300-00004A000000}"/>
                </a:ext>
              </a:extLst>
            </xdr:cNvPr>
            <xdr:cNvSpPr txBox="1"/>
          </xdr:nvSpPr>
          <xdr:spPr>
            <a:xfrm>
              <a:off x="555598" y="3758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如果資料塞滿一欄，請分割欄。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5" name="直線接點 74" descr="裝飾線條">
              <a:extLst>
                <a:ext uri="{FF2B5EF4-FFF2-40B4-BE49-F238E27FC236}">
                  <a16:creationId xmlns:a16="http://schemas.microsoft.com/office/drawing/2014/main" id="{00000000-0008-0000-0300-00004B000000}"/>
                </a:ext>
              </a:extLst>
            </xdr:cNvPr>
            <xdr:cNvCxnSpPr>
              <a:cxnSpLocks/>
            </xdr:cNvCxnSpPr>
          </xdr:nvCxnSpPr>
          <xdr:spPr>
            <a:xfrm>
              <a:off x="558774" y="8832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下一步] 按鈕" descr="向下瀏覽以取得更多詳細資料">
              <a:hlinkClick xmlns:r="http://schemas.openxmlformats.org/officeDocument/2006/relationships" r:id="rId15"/>
              <a:extLst>
                <a:ext uri="{FF2B5EF4-FFF2-40B4-BE49-F238E27FC236}">
                  <a16:creationId xmlns:a16="http://schemas.microsoft.com/office/drawing/2014/main" id="{00000000-0008-0000-0300-00004C000000}"/>
                </a:ext>
              </a:extLst>
            </xdr:cNvPr>
            <xdr:cNvSpPr/>
          </xdr:nvSpPr>
          <xdr:spPr>
            <a:xfrm>
              <a:off x="558774" y="4099682"/>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77" name="直線接點 76" descr="裝飾線條">
              <a:extLst>
                <a:ext uri="{FF2B5EF4-FFF2-40B4-BE49-F238E27FC236}">
                  <a16:creationId xmlns:a16="http://schemas.microsoft.com/office/drawing/2014/main" id="{00000000-0008-0000-0300-00004D000000}"/>
                </a:ext>
              </a:extLst>
            </xdr:cNvPr>
            <xdr:cNvCxnSpPr>
              <a:cxnSpLocks/>
            </xdr:cNvCxnSpPr>
          </xdr:nvCxnSpPr>
          <xdr:spPr>
            <a:xfrm>
              <a:off x="558774" y="387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300-00004E000000}"/>
                </a:ext>
              </a:extLst>
            </xdr:cNvPr>
            <xdr:cNvSpPr/>
          </xdr:nvSpPr>
          <xdr:spPr>
            <a:xfrm>
              <a:off x="4617720" y="409968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79" name="步驟" descr="在 [名字] 底下的儲存格中，輸入 [電子郵件] 欄中的名字：Nancy、Andy 等等">
              <a:extLst>
                <a:ext uri="{FF2B5EF4-FFF2-40B4-BE49-F238E27FC236}">
                  <a16:creationId xmlns:a16="http://schemas.microsoft.com/office/drawing/2014/main" id="{00000000-0008-0000-0300-00004F000000}"/>
                </a:ext>
              </a:extLst>
            </xdr:cNvPr>
            <xdr:cNvSpPr txBox="1"/>
          </xdr:nvSpPr>
          <xdr:spPr>
            <a:xfrm>
              <a:off x="962634" y="1073297"/>
              <a:ext cx="4590850"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[名字]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底下的儲存格中，輸入</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[電子郵件]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欄中的名字：</a:t>
              </a:r>
              <a:r>
                <a:rPr lang="zh-tw" sz="110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Nancy</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Andy</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等等。 </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0" name="橢圓​​ 79" descr="1">
              <a:extLst>
                <a:ext uri="{FF2B5EF4-FFF2-40B4-BE49-F238E27FC236}">
                  <a16:creationId xmlns:a16="http://schemas.microsoft.com/office/drawing/2014/main" id="{00000000-0008-0000-0300-000050000000}"/>
                </a:ext>
              </a:extLst>
            </xdr:cNvPr>
            <xdr:cNvSpPr/>
          </xdr:nvSpPr>
          <xdr:spPr>
            <a:xfrm>
              <a:off x="555599" y="10307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1" name="步驟" descr="當您看到淡色的建議清單時，立即按 Enter">
              <a:extLst>
                <a:ext uri="{FF2B5EF4-FFF2-40B4-BE49-F238E27FC236}">
                  <a16:creationId xmlns:a16="http://schemas.microsoft.com/office/drawing/2014/main" id="{00000000-0008-0000-0300-000051000000}"/>
                </a:ext>
              </a:extLst>
            </xdr:cNvPr>
            <xdr:cNvSpPr txBox="1"/>
          </xdr:nvSpPr>
          <xdr:spPr>
            <a:xfrm>
              <a:off x="962632" y="1568125"/>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當您看到淡色的建議清單時，立即按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2" name="橢圓​​ 81" descr="2">
              <a:extLst>
                <a:ext uri="{FF2B5EF4-FFF2-40B4-BE49-F238E27FC236}">
                  <a16:creationId xmlns:a16="http://schemas.microsoft.com/office/drawing/2014/main" id="{00000000-0008-0000-0300-000052000000}"/>
                </a:ext>
              </a:extLst>
            </xdr:cNvPr>
            <xdr:cNvSpPr/>
          </xdr:nvSpPr>
          <xdr:spPr>
            <a:xfrm>
              <a:off x="555599" y="152562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3" name="步驟" descr="試試 [快速填入] 的另一種方式：按一下包含 [Smith] 文字的儲存格">
              <a:extLst>
                <a:ext uri="{FF2B5EF4-FFF2-40B4-BE49-F238E27FC236}">
                  <a16:creationId xmlns:a16="http://schemas.microsoft.com/office/drawing/2014/main" id="{00000000-0008-0000-0300-000053000000}"/>
                </a:ext>
              </a:extLst>
            </xdr:cNvPr>
            <xdr:cNvSpPr txBox="1"/>
          </xdr:nvSpPr>
          <xdr:spPr>
            <a:xfrm>
              <a:off x="962633" y="29224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試試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的另一種方式：按一下包含 [Smith] 這個字的儲存格。 </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4" name="橢圓​​ 83" descr="3">
              <a:extLst>
                <a:ext uri="{FF2B5EF4-FFF2-40B4-BE49-F238E27FC236}">
                  <a16:creationId xmlns:a16="http://schemas.microsoft.com/office/drawing/2014/main" id="{00000000-0008-0000-0300-000054000000}"/>
                </a:ext>
              </a:extLst>
            </xdr:cNvPr>
            <xdr:cNvSpPr/>
          </xdr:nvSpPr>
          <xdr:spPr>
            <a:xfrm>
              <a:off x="555599" y="2879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86" name="步驟" descr="這份建議清單稱為「快速填入」。[快速填入] 會偵測到您輸入一致的模式，並提供建議讓您填入儲存格。如果您看到淡色的清單，就是提示您按 Enter">
              <a:extLst>
                <a:ext uri="{FF2B5EF4-FFF2-40B4-BE49-F238E27FC236}">
                  <a16:creationId xmlns:a16="http://schemas.microsoft.com/office/drawing/2014/main" id="{00000000-0008-0000-0300-000056000000}"/>
                </a:ext>
              </a:extLst>
            </xdr:cNvPr>
            <xdr:cNvSpPr txBox="1"/>
          </xdr:nvSpPr>
          <xdr:spPr>
            <a:xfrm>
              <a:off x="1808447" y="1828972"/>
              <a:ext cx="3866542" cy="784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這份建議清單稱為</a:t>
              </a:r>
              <a:r>
                <a:rPr lang="zh-TW" alt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[快速填入] 會偵測到您輸入一致的模式，並提供建議讓您填入儲存格。如果您看到淡色的清單，就是提示您按 Enter。</a:t>
              </a:r>
            </a:p>
          </xdr:txBody>
        </xdr:sp>
        <xdr:sp macro="" textlink="">
          <xdr:nvSpPr>
            <xdr:cNvPr id="87" name="步驟" descr="按一下 [常用] &gt; [填滿] &gt; [快速填入]。現在姓氏就會在其專屬欄中">
              <a:extLst>
                <a:ext uri="{FF2B5EF4-FFF2-40B4-BE49-F238E27FC236}">
                  <a16:creationId xmlns:a16="http://schemas.microsoft.com/office/drawing/2014/main" id="{00000000-0008-0000-0300-000057000000}"/>
                </a:ext>
              </a:extLst>
            </xdr:cNvPr>
            <xdr:cNvSpPr txBox="1"/>
          </xdr:nvSpPr>
          <xdr:spPr>
            <a:xfrm>
              <a:off x="962633" y="342419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[填滿]</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[快速填入]。</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現在姓氏就會在其專屬欄中。</a:t>
              </a:r>
            </a:p>
          </xdr:txBody>
        </xdr:sp>
        <xdr:sp macro="" textlink="">
          <xdr:nvSpPr>
            <xdr:cNvPr id="88" name="橢圓​​ 87" descr="4">
              <a:extLst>
                <a:ext uri="{FF2B5EF4-FFF2-40B4-BE49-F238E27FC236}">
                  <a16:creationId xmlns:a16="http://schemas.microsoft.com/office/drawing/2014/main" id="{00000000-0008-0000-0300-000058000000}"/>
                </a:ext>
              </a:extLst>
            </xdr:cNvPr>
            <xdr:cNvSpPr/>
          </xdr:nvSpPr>
          <xdr:spPr>
            <a:xfrm>
              <a:off x="555599" y="33816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grpSp>
      <xdr:pic>
        <xdr:nvPicPr>
          <xdr:cNvPr id="12" name="圖片 11" descr="快速填入">
            <a:extLst>
              <a:ext uri="{FF2B5EF4-FFF2-40B4-BE49-F238E27FC236}">
                <a16:creationId xmlns:a16="http://schemas.microsoft.com/office/drawing/2014/main" id="{EAE844B1-9579-4BCD-9E05-FBB11800A63B}"/>
              </a:ext>
            </a:extLst>
          </xdr:cNvPr>
          <xdr:cNvPicPr>
            <a:picLocks noChangeAspect="1"/>
          </xdr:cNvPicPr>
        </xdr:nvPicPr>
        <xdr:blipFill>
          <a:blip xmlns:r="http://schemas.openxmlformats.org/officeDocument/2006/relationships" r:embed="rId16"/>
          <a:stretch>
            <a:fillRect/>
          </a:stretch>
        </xdr:blipFill>
        <xdr:spPr>
          <a:xfrm>
            <a:off x="1057276" y="1838324"/>
            <a:ext cx="806532" cy="917431"/>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323850</xdr:colOff>
      <xdr:row>0</xdr:row>
      <xdr:rowOff>266700</xdr:rowOff>
    </xdr:from>
    <xdr:to>
      <xdr:col>1</xdr:col>
      <xdr:colOff>5006975</xdr:colOff>
      <xdr:row>22</xdr:row>
      <xdr:rowOff>123825</xdr:rowOff>
    </xdr:to>
    <xdr:grpSp>
      <xdr:nvGrpSpPr>
        <xdr:cNvPr id="11" name="透過轉置切換資料的方向" descr="Switch data around by transposing it&#10;When you need to rotate columns and rows, you transpose them in Excel.&#10;Click and drag to select the two rows of cells from Item, to 20.&#10;Now you'll copy the cells. Press Ctrl and C key.&#10;Click the yellow cell.&#10;On the Home tab, click the arrow under the Paste button.&#10;Click Paste Special, and then at the bottom, click the checkbox for Transpose. Click OK.&#10;Dive down for more detail &#10;Next step">
          <a:extLst>
            <a:ext uri="{FF2B5EF4-FFF2-40B4-BE49-F238E27FC236}">
              <a16:creationId xmlns:a16="http://schemas.microsoft.com/office/drawing/2014/main" id="{00000000-0008-0000-0400-00000B000000}"/>
            </a:ext>
          </a:extLst>
        </xdr:cNvPr>
        <xdr:cNvGrpSpPr/>
      </xdr:nvGrpSpPr>
      <xdr:grpSpPr>
        <a:xfrm>
          <a:off x="323850" y="266700"/>
          <a:ext cx="5778500" cy="4619625"/>
          <a:chOff x="323850" y="266700"/>
          <a:chExt cx="5695950" cy="4619625"/>
        </a:xfrm>
      </xdr:grpSpPr>
      <xdr:sp macro="" textlink="">
        <xdr:nvSpPr>
          <xdr:cNvPr id="73" name="矩形 72" descr="背景">
            <a:extLst>
              <a:ext uri="{FF2B5EF4-FFF2-40B4-BE49-F238E27FC236}">
                <a16:creationId xmlns:a16="http://schemas.microsoft.com/office/drawing/2014/main" id="{00000000-0008-0000-0400-000049000000}"/>
              </a:ext>
            </a:extLst>
          </xdr:cNvPr>
          <xdr:cNvSpPr/>
        </xdr:nvSpPr>
        <xdr:spPr>
          <a:xfrm>
            <a:off x="323850"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4" name="步驟" descr="透過轉置切換資料的方向">
            <a:extLst>
              <a:ext uri="{FF2B5EF4-FFF2-40B4-BE49-F238E27FC236}">
                <a16:creationId xmlns:a16="http://schemas.microsoft.com/office/drawing/2014/main" id="{00000000-0008-0000-0400-00004A000000}"/>
              </a:ext>
            </a:extLst>
          </xdr:cNvPr>
          <xdr:cNvSpPr txBox="1"/>
        </xdr:nvSpPr>
        <xdr:spPr>
          <a:xfrm>
            <a:off x="555598"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透過轉置切換資料的方向</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5" name="直線接點 74" descr="裝飾線條">
            <a:extLst>
              <a:ext uri="{FF2B5EF4-FFF2-40B4-BE49-F238E27FC236}">
                <a16:creationId xmlns:a16="http://schemas.microsoft.com/office/drawing/2014/main" id="{00000000-0008-0000-0400-00004B000000}"/>
              </a:ext>
            </a:extLst>
          </xdr:cNvPr>
          <xdr:cNvCxnSpPr>
            <a:cxnSpLocks/>
          </xdr:cNvCxnSpPr>
        </xdr:nvCxnSpPr>
        <xdr:spPr>
          <a:xfrm>
            <a:off x="558774"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6"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400-00004C000000}"/>
              </a:ext>
            </a:extLst>
          </xdr:cNvPr>
          <xdr:cNvSpPr/>
        </xdr:nvSpPr>
        <xdr:spPr>
          <a:xfrm>
            <a:off x="558774"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77" name="直線接點 76" descr="裝飾線條">
            <a:extLst>
              <a:ext uri="{FF2B5EF4-FFF2-40B4-BE49-F238E27FC236}">
                <a16:creationId xmlns:a16="http://schemas.microsoft.com/office/drawing/2014/main" id="{00000000-0008-0000-0400-00004D000000}"/>
              </a:ext>
            </a:extLst>
          </xdr:cNvPr>
          <xdr:cNvCxnSpPr>
            <a:cxnSpLocks/>
          </xdr:cNvCxnSpPr>
        </xdr:nvCxnSpPr>
        <xdr:spPr>
          <a:xfrm>
            <a:off x="558774"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78"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400-00004E000000}"/>
              </a:ext>
            </a:extLst>
          </xdr:cNvPr>
          <xdr:cNvSpPr/>
        </xdr:nvSpPr>
        <xdr:spPr>
          <a:xfrm>
            <a:off x="4617720"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79" name="步驟" descr="如果您需要旋轉欄和列的方向，可以在 Excel 中進行轉置">
            <a:extLst>
              <a:ext uri="{FF2B5EF4-FFF2-40B4-BE49-F238E27FC236}">
                <a16:creationId xmlns:a16="http://schemas.microsoft.com/office/drawing/2014/main" id="{00000000-0008-0000-0400-00004F000000}"/>
              </a:ext>
            </a:extLst>
          </xdr:cNvPr>
          <xdr:cNvSpPr txBox="1"/>
        </xdr:nvSpPr>
        <xdr:spPr>
          <a:xfrm>
            <a:off x="552450"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如果您需要旋轉欄和列的方向，可以在 Excel 中進行</a:t>
            </a:r>
            <a:r>
              <a:rPr lang="zh-tw" sz="1100" b="0" i="1"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轉置</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0" name="步驟" descr="按一下並拖曳以從 [項目] 選取兩列儲存格 (到 20)">
            <a:extLst>
              <a:ext uri="{FF2B5EF4-FFF2-40B4-BE49-F238E27FC236}">
                <a16:creationId xmlns:a16="http://schemas.microsoft.com/office/drawing/2014/main" id="{00000000-0008-0000-0400-000050000000}"/>
              </a:ext>
            </a:extLst>
          </xdr:cNvPr>
          <xdr:cNvSpPr txBox="1"/>
        </xdr:nvSpPr>
        <xdr:spPr>
          <a:xfrm>
            <a:off x="962633" y="1312535"/>
            <a:ext cx="4809516" cy="382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按一下並拖曳以從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[項目] </a:t>
            </a:r>
            <a:r>
              <a:rPr lang="zh-tw" sz="110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選取兩列儲存格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(到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20</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1" name="橢圓​​ 80" descr="1">
            <a:extLst>
              <a:ext uri="{FF2B5EF4-FFF2-40B4-BE49-F238E27FC236}">
                <a16:creationId xmlns:a16="http://schemas.microsoft.com/office/drawing/2014/main" id="{00000000-0008-0000-0400-000051000000}"/>
              </a:ext>
            </a:extLst>
          </xdr:cNvPr>
          <xdr:cNvSpPr/>
        </xdr:nvSpPr>
        <xdr:spPr>
          <a:xfrm>
            <a:off x="555599"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2" name="步驟" descr="現在您將複製儲存格。按 Ctrl 和 C 鍵">
            <a:extLst>
              <a:ext uri="{FF2B5EF4-FFF2-40B4-BE49-F238E27FC236}">
                <a16:creationId xmlns:a16="http://schemas.microsoft.com/office/drawing/2014/main" id="{00000000-0008-0000-0400-000052000000}"/>
              </a:ext>
            </a:extLst>
          </xdr:cNvPr>
          <xdr:cNvSpPr txBox="1"/>
        </xdr:nvSpPr>
        <xdr:spPr>
          <a:xfrm>
            <a:off x="962633" y="1786953"/>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現在您將複製儲存格。按 	</a:t>
            </a:r>
          </a:p>
        </xdr:txBody>
      </xdr:sp>
      <xdr:sp macro="" textlink="">
        <xdr:nvSpPr>
          <xdr:cNvPr id="83" name="橢圓​​ 82" descr="2">
            <a:extLst>
              <a:ext uri="{FF2B5EF4-FFF2-40B4-BE49-F238E27FC236}">
                <a16:creationId xmlns:a16="http://schemas.microsoft.com/office/drawing/2014/main" id="{00000000-0008-0000-0400-000053000000}"/>
              </a:ext>
            </a:extLst>
          </xdr:cNvPr>
          <xdr:cNvSpPr/>
        </xdr:nvSpPr>
        <xdr:spPr>
          <a:xfrm>
            <a:off x="555599" y="17444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95" name="矩形​​：圓角 94" descr="Ctrl 鍵">
            <a:extLst>
              <a:ext uri="{FF2B5EF4-FFF2-40B4-BE49-F238E27FC236}">
                <a16:creationId xmlns:a16="http://schemas.microsoft.com/office/drawing/2014/main" id="{00000000-0008-0000-0400-00005F000000}"/>
              </a:ext>
            </a:extLst>
          </xdr:cNvPr>
          <xdr:cNvSpPr/>
        </xdr:nvSpPr>
        <xdr:spPr>
          <a:xfrm>
            <a:off x="2639036" y="1789746"/>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6" name="矩形​​：圓角 95" descr="C 鍵">
            <a:extLst>
              <a:ext uri="{FF2B5EF4-FFF2-40B4-BE49-F238E27FC236}">
                <a16:creationId xmlns:a16="http://schemas.microsoft.com/office/drawing/2014/main" id="{00000000-0008-0000-0400-000060000000}"/>
              </a:ext>
            </a:extLst>
          </xdr:cNvPr>
          <xdr:cNvSpPr/>
        </xdr:nvSpPr>
        <xdr:spPr>
          <a:xfrm>
            <a:off x="3148624" y="1789746"/>
            <a:ext cx="422585"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a:t>
            </a:r>
          </a:p>
        </xdr:txBody>
      </xdr:sp>
      <xdr:sp macro="" textlink="">
        <xdr:nvSpPr>
          <xdr:cNvPr id="85" name="步驟" descr="按一下黃色儲存格">
            <a:extLst>
              <a:ext uri="{FF2B5EF4-FFF2-40B4-BE49-F238E27FC236}">
                <a16:creationId xmlns:a16="http://schemas.microsoft.com/office/drawing/2014/main" id="{00000000-0008-0000-0400-000055000000}"/>
              </a:ext>
            </a:extLst>
          </xdr:cNvPr>
          <xdr:cNvSpPr txBox="1"/>
        </xdr:nvSpPr>
        <xdr:spPr>
          <a:xfrm>
            <a:off x="962633" y="2272654"/>
            <a:ext cx="4809516" cy="441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按一下黃色儲存格。</a:t>
            </a:r>
          </a:p>
        </xdr:txBody>
      </xdr:sp>
      <xdr:sp macro="" textlink="">
        <xdr:nvSpPr>
          <xdr:cNvPr id="86" name="橢圓​​ 85" descr="3">
            <a:extLst>
              <a:ext uri="{FF2B5EF4-FFF2-40B4-BE49-F238E27FC236}">
                <a16:creationId xmlns:a16="http://schemas.microsoft.com/office/drawing/2014/main" id="{00000000-0008-0000-0400-000056000000}"/>
              </a:ext>
            </a:extLst>
          </xdr:cNvPr>
          <xdr:cNvSpPr/>
        </xdr:nvSpPr>
        <xdr:spPr>
          <a:xfrm>
            <a:off x="555599" y="22301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87" name="步驟" descr="在 [常用] 索引標籤上，按一下 [貼上] 按鈕底下的箭號">
            <a:extLst>
              <a:ext uri="{FF2B5EF4-FFF2-40B4-BE49-F238E27FC236}">
                <a16:creationId xmlns:a16="http://schemas.microsoft.com/office/drawing/2014/main" id="{00000000-0008-0000-0400-000057000000}"/>
              </a:ext>
            </a:extLst>
          </xdr:cNvPr>
          <xdr:cNvSpPr txBox="1"/>
        </xdr:nvSpPr>
        <xdr:spPr>
          <a:xfrm>
            <a:off x="962633" y="2747074"/>
            <a:ext cx="4809516" cy="4438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[貼上]</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 按鈕底下的箭號。</a:t>
            </a:r>
          </a:p>
        </xdr:txBody>
      </xdr:sp>
      <xdr:sp macro="" textlink="">
        <xdr:nvSpPr>
          <xdr:cNvPr id="88" name="橢圓​​ 87" descr="4">
            <a:extLst>
              <a:ext uri="{FF2B5EF4-FFF2-40B4-BE49-F238E27FC236}">
                <a16:creationId xmlns:a16="http://schemas.microsoft.com/office/drawing/2014/main" id="{00000000-0008-0000-0400-000058000000}"/>
              </a:ext>
            </a:extLst>
          </xdr:cNvPr>
          <xdr:cNvSpPr/>
        </xdr:nvSpPr>
        <xdr:spPr>
          <a:xfrm>
            <a:off x="555599" y="270457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0" name="步驟" descr="按一下 [選擇性貼上]，然後按一下底部的 [轉置] 核取方塊。按一下 [確定]">
            <a:extLst>
              <a:ext uri="{FF2B5EF4-FFF2-40B4-BE49-F238E27FC236}">
                <a16:creationId xmlns:a16="http://schemas.microsoft.com/office/drawing/2014/main" id="{00000000-0008-0000-0400-00005A000000}"/>
              </a:ext>
            </a:extLst>
          </xdr:cNvPr>
          <xdr:cNvSpPr txBox="1"/>
        </xdr:nvSpPr>
        <xdr:spPr>
          <a:xfrm>
            <a:off x="962633" y="3225154"/>
            <a:ext cx="4809516" cy="480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[選擇性貼上]</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，然後按一下底部的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[轉置]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核取方塊。按一下 </a:t>
            </a:r>
            <a:r>
              <a:rPr lang="zh-tw" sz="1100" b="1"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91" name="橢圓​​ 90" descr="5">
            <a:extLst>
              <a:ext uri="{FF2B5EF4-FFF2-40B4-BE49-F238E27FC236}">
                <a16:creationId xmlns:a16="http://schemas.microsoft.com/office/drawing/2014/main" id="{00000000-0008-0000-0400-00005B000000}"/>
              </a:ext>
            </a:extLst>
          </xdr:cNvPr>
          <xdr:cNvSpPr/>
        </xdr:nvSpPr>
        <xdr:spPr>
          <a:xfrm>
            <a:off x="555599" y="31826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2</xdr:col>
      <xdr:colOff>9524</xdr:colOff>
      <xdr:row>28</xdr:row>
      <xdr:rowOff>133351</xdr:rowOff>
    </xdr:from>
    <xdr:to>
      <xdr:col>10</xdr:col>
      <xdr:colOff>30211</xdr:colOff>
      <xdr:row>34</xdr:row>
      <xdr:rowOff>7321</xdr:rowOff>
    </xdr:to>
    <xdr:grpSp>
      <xdr:nvGrpSpPr>
        <xdr:cNvPr id="10" name="轉置資料" descr="This data has 6 columns...&#10;...and 2 rows&#10;">
          <a:extLst>
            <a:ext uri="{FF2B5EF4-FFF2-40B4-BE49-F238E27FC236}">
              <a16:creationId xmlns:a16="http://schemas.microsoft.com/office/drawing/2014/main" id="{00000000-0008-0000-0400-00000A000000}"/>
            </a:ext>
          </a:extLst>
        </xdr:cNvPr>
        <xdr:cNvGrpSpPr/>
      </xdr:nvGrpSpPr>
      <xdr:grpSpPr>
        <a:xfrm>
          <a:off x="6553199" y="6038851"/>
          <a:ext cx="6116687" cy="1016970"/>
          <a:chOff x="6381749" y="6457951"/>
          <a:chExt cx="5634126" cy="1016970"/>
        </a:xfrm>
      </xdr:grpSpPr>
      <xdr:sp macro="" textlink="">
        <xdr:nvSpPr>
          <xdr:cNvPr id="97" name="步驟" descr="...和 2 列">
            <a:extLst>
              <a:ext uri="{FF2B5EF4-FFF2-40B4-BE49-F238E27FC236}">
                <a16:creationId xmlns:a16="http://schemas.microsoft.com/office/drawing/2014/main" id="{00000000-0008-0000-0400-000061000000}"/>
              </a:ext>
            </a:extLst>
          </xdr:cNvPr>
          <xdr:cNvSpPr txBox="1"/>
        </xdr:nvSpPr>
        <xdr:spPr>
          <a:xfrm>
            <a:off x="10791863" y="7115177"/>
            <a:ext cx="1224012" cy="315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...和 2 列。</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98" name="步驟" descr="這項資料包含 6 欄...">
            <a:extLst>
              <a:ext uri="{FF2B5EF4-FFF2-40B4-BE49-F238E27FC236}">
                <a16:creationId xmlns:a16="http://schemas.microsoft.com/office/drawing/2014/main" id="{00000000-0008-0000-0400-000062000000}"/>
              </a:ext>
            </a:extLst>
          </xdr:cNvPr>
          <xdr:cNvSpPr txBox="1"/>
        </xdr:nvSpPr>
        <xdr:spPr>
          <a:xfrm>
            <a:off x="7410450" y="6457951"/>
            <a:ext cx="1752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這項資料包含 6 欄...</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00" name="手繪多邊形：圖案​​ 99" descr="括號行">
            <a:extLst>
              <a:ext uri="{FF2B5EF4-FFF2-40B4-BE49-F238E27FC236}">
                <a16:creationId xmlns:a16="http://schemas.microsoft.com/office/drawing/2014/main" id="{00000000-0008-0000-0400-000064000000}"/>
              </a:ext>
            </a:extLst>
          </xdr:cNvPr>
          <xdr:cNvSpPr/>
        </xdr:nvSpPr>
        <xdr:spPr>
          <a:xfrm rot="16200000">
            <a:off x="7088867" y="6158013"/>
            <a:ext cx="181608" cy="159584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1" name="手繪多邊形：圖案​ 100" descr="括號行">
            <a:extLst>
              <a:ext uri="{FF2B5EF4-FFF2-40B4-BE49-F238E27FC236}">
                <a16:creationId xmlns:a16="http://schemas.microsoft.com/office/drawing/2014/main" id="{00000000-0008-0000-0400-000065000000}"/>
              </a:ext>
            </a:extLst>
          </xdr:cNvPr>
          <xdr:cNvSpPr/>
        </xdr:nvSpPr>
        <xdr:spPr>
          <a:xfrm rot="5400000" flipH="1">
            <a:off x="9346595" y="5836386"/>
            <a:ext cx="174557" cy="223061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2" name="弧線 101" descr="括號行">
            <a:extLst>
              <a:ext uri="{FF2B5EF4-FFF2-40B4-BE49-F238E27FC236}">
                <a16:creationId xmlns:a16="http://schemas.microsoft.com/office/drawing/2014/main" id="{00000000-0008-0000-0400-000066000000}"/>
              </a:ext>
            </a:extLst>
          </xdr:cNvPr>
          <xdr:cNvSpPr/>
        </xdr:nvSpPr>
        <xdr:spPr>
          <a:xfrm rot="10800000">
            <a:off x="8125354" y="6662382"/>
            <a:ext cx="52284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03" name="弧線 102" descr="括號行">
            <a:extLst>
              <a:ext uri="{FF2B5EF4-FFF2-40B4-BE49-F238E27FC236}">
                <a16:creationId xmlns:a16="http://schemas.microsoft.com/office/drawing/2014/main" id="{00000000-0008-0000-0400-000067000000}"/>
              </a:ext>
            </a:extLst>
          </xdr:cNvPr>
          <xdr:cNvSpPr/>
        </xdr:nvSpPr>
        <xdr:spPr>
          <a:xfrm rot="10800000" flipH="1">
            <a:off x="7602507" y="6657974"/>
            <a:ext cx="52284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0" name="手繪多邊形：圖案​ 109" descr="括號行">
            <a:extLst>
              <a:ext uri="{FF2B5EF4-FFF2-40B4-BE49-F238E27FC236}">
                <a16:creationId xmlns:a16="http://schemas.microsoft.com/office/drawing/2014/main" id="{00000000-0008-0000-0400-00006E000000}"/>
              </a:ext>
            </a:extLst>
          </xdr:cNvPr>
          <xdr:cNvSpPr/>
        </xdr:nvSpPr>
        <xdr:spPr>
          <a:xfrm rot="556052">
            <a:off x="10619308" y="7135679"/>
            <a:ext cx="221769" cy="11124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1" name="手繪多邊形：圖案​ 110" descr="括號行">
            <a:extLst>
              <a:ext uri="{FF2B5EF4-FFF2-40B4-BE49-F238E27FC236}">
                <a16:creationId xmlns:a16="http://schemas.microsoft.com/office/drawing/2014/main" id="{00000000-0008-0000-0400-00006F000000}"/>
              </a:ext>
            </a:extLst>
          </xdr:cNvPr>
          <xdr:cNvSpPr/>
        </xdr:nvSpPr>
        <xdr:spPr>
          <a:xfrm rot="556052">
            <a:off x="10683162" y="7245204"/>
            <a:ext cx="130546" cy="229717"/>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1</xdr:col>
      <xdr:colOff>5438774</xdr:colOff>
      <xdr:row>35</xdr:row>
      <xdr:rowOff>123825</xdr:rowOff>
    </xdr:from>
    <xdr:to>
      <xdr:col>6</xdr:col>
      <xdr:colOff>515987</xdr:colOff>
      <xdr:row>45</xdr:row>
      <xdr:rowOff>66675</xdr:rowOff>
    </xdr:to>
    <xdr:grpSp>
      <xdr:nvGrpSpPr>
        <xdr:cNvPr id="9" name="轉置資料選取範圍 1" descr="So select these 2 columns...&#10;...and these 6 rows before you type the formula">
          <a:extLst>
            <a:ext uri="{FF2B5EF4-FFF2-40B4-BE49-F238E27FC236}">
              <a16:creationId xmlns:a16="http://schemas.microsoft.com/office/drawing/2014/main" id="{00000000-0008-0000-0400-000009000000}"/>
            </a:ext>
          </a:extLst>
        </xdr:cNvPr>
        <xdr:cNvGrpSpPr/>
      </xdr:nvGrpSpPr>
      <xdr:grpSpPr>
        <a:xfrm>
          <a:off x="6534149" y="7362825"/>
          <a:ext cx="3573513" cy="1847850"/>
          <a:chOff x="6286499" y="7781925"/>
          <a:chExt cx="2881363" cy="1847850"/>
        </a:xfrm>
      </xdr:grpSpPr>
      <xdr:sp macro="" textlink="">
        <xdr:nvSpPr>
          <xdr:cNvPr id="121" name="步驟" descr="因此，請選取這 2 欄...">
            <a:extLst>
              <a:ext uri="{FF2B5EF4-FFF2-40B4-BE49-F238E27FC236}">
                <a16:creationId xmlns:a16="http://schemas.microsoft.com/office/drawing/2014/main" id="{00000000-0008-0000-0400-000079000000}"/>
              </a:ext>
            </a:extLst>
          </xdr:cNvPr>
          <xdr:cNvSpPr txBox="1"/>
        </xdr:nvSpPr>
        <xdr:spPr>
          <a:xfrm>
            <a:off x="6286499" y="7781925"/>
            <a:ext cx="18002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因此，請選取這 2 欄...</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23" name="手繪多邊形：圖案​ 122" descr="括號行">
            <a:extLst>
              <a:ext uri="{FF2B5EF4-FFF2-40B4-BE49-F238E27FC236}">
                <a16:creationId xmlns:a16="http://schemas.microsoft.com/office/drawing/2014/main" id="{00000000-0008-0000-0400-00007B000000}"/>
              </a:ext>
            </a:extLst>
          </xdr:cNvPr>
          <xdr:cNvSpPr/>
        </xdr:nvSpPr>
        <xdr:spPr>
          <a:xfrm rot="16200000">
            <a:off x="6546882" y="7995397"/>
            <a:ext cx="181608" cy="51187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4" name="手繪多邊形：圖案​ 123" descr="括號行">
            <a:extLst>
              <a:ext uri="{FF2B5EF4-FFF2-40B4-BE49-F238E27FC236}">
                <a16:creationId xmlns:a16="http://schemas.microsoft.com/office/drawing/2014/main" id="{00000000-0008-0000-0400-00007C000000}"/>
              </a:ext>
            </a:extLst>
          </xdr:cNvPr>
          <xdr:cNvSpPr/>
        </xdr:nvSpPr>
        <xdr:spPr>
          <a:xfrm rot="5400000" flipH="1">
            <a:off x="7167212" y="7995598"/>
            <a:ext cx="183793" cy="51223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5" name="弧線 124" descr="括號行">
            <a:extLst>
              <a:ext uri="{FF2B5EF4-FFF2-40B4-BE49-F238E27FC236}">
                <a16:creationId xmlns:a16="http://schemas.microsoft.com/office/drawing/2014/main" id="{00000000-0008-0000-0400-00007D000000}"/>
              </a:ext>
            </a:extLst>
          </xdr:cNvPr>
          <xdr:cNvSpPr/>
        </xdr:nvSpPr>
        <xdr:spPr>
          <a:xfrm rot="10800000">
            <a:off x="6941019" y="7957781"/>
            <a:ext cx="16770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6" name="弧線 125" descr="括號行">
            <a:extLst>
              <a:ext uri="{FF2B5EF4-FFF2-40B4-BE49-F238E27FC236}">
                <a16:creationId xmlns:a16="http://schemas.microsoft.com/office/drawing/2014/main" id="{00000000-0008-0000-0400-00007E000000}"/>
              </a:ext>
            </a:extLst>
          </xdr:cNvPr>
          <xdr:cNvSpPr/>
        </xdr:nvSpPr>
        <xdr:spPr>
          <a:xfrm rot="10800000" flipH="1">
            <a:off x="6773313" y="7953373"/>
            <a:ext cx="16770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27" name="步驟" descr="...以及這 6 列，然後再輸入公式">
            <a:extLst>
              <a:ext uri="{FF2B5EF4-FFF2-40B4-BE49-F238E27FC236}">
                <a16:creationId xmlns:a16="http://schemas.microsoft.com/office/drawing/2014/main" id="{00000000-0008-0000-0400-00007F000000}"/>
              </a:ext>
            </a:extLst>
          </xdr:cNvPr>
          <xdr:cNvSpPr txBox="1"/>
        </xdr:nvSpPr>
        <xdr:spPr>
          <a:xfrm>
            <a:off x="7943850" y="8696325"/>
            <a:ext cx="1224012" cy="8762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...以及這 6 列，</a:t>
            </a:r>
            <a:r>
              <a:rPr lang="zh-tw" sz="1100" b="0" i="1"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然後再</a:t>
            </a: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輸入公式。</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32" name="手繪多邊形：圖案 131" descr="括號行">
            <a:extLst>
              <a:ext uri="{FF2B5EF4-FFF2-40B4-BE49-F238E27FC236}">
                <a16:creationId xmlns:a16="http://schemas.microsoft.com/office/drawing/2014/main" id="{00000000-0008-0000-0400-000084000000}"/>
              </a:ext>
            </a:extLst>
          </xdr:cNvPr>
          <xdr:cNvSpPr/>
        </xdr:nvSpPr>
        <xdr:spPr>
          <a:xfrm>
            <a:off x="7678769" y="8439005"/>
            <a:ext cx="181608" cy="53774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3" name="手繪多邊形：圖案​ 132" descr="括號行">
            <a:extLst>
              <a:ext uri="{FF2B5EF4-FFF2-40B4-BE49-F238E27FC236}">
                <a16:creationId xmlns:a16="http://schemas.microsoft.com/office/drawing/2014/main" id="{00000000-0008-0000-0400-000085000000}"/>
              </a:ext>
            </a:extLst>
          </xdr:cNvPr>
          <xdr:cNvSpPr/>
        </xdr:nvSpPr>
        <xdr:spPr>
          <a:xfrm rot="10800000" flipH="1">
            <a:off x="7677296" y="9091650"/>
            <a:ext cx="183793" cy="53812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4" name="弧線 133" descr="括號行">
            <a:extLst>
              <a:ext uri="{FF2B5EF4-FFF2-40B4-BE49-F238E27FC236}">
                <a16:creationId xmlns:a16="http://schemas.microsoft.com/office/drawing/2014/main" id="{00000000-0008-0000-0400-000086000000}"/>
              </a:ext>
            </a:extLst>
          </xdr:cNvPr>
          <xdr:cNvSpPr/>
        </xdr:nvSpPr>
        <xdr:spPr>
          <a:xfrm rot="16200000">
            <a:off x="7871447" y="9011047"/>
            <a:ext cx="17618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5" name="弧線 134" descr="括號行">
            <a:extLst>
              <a:ext uri="{FF2B5EF4-FFF2-40B4-BE49-F238E27FC236}">
                <a16:creationId xmlns:a16="http://schemas.microsoft.com/office/drawing/2014/main" id="{00000000-0008-0000-0400-000087000000}"/>
              </a:ext>
            </a:extLst>
          </xdr:cNvPr>
          <xdr:cNvSpPr/>
        </xdr:nvSpPr>
        <xdr:spPr>
          <a:xfrm rot="16200000" flipH="1">
            <a:off x="7869243" y="8828252"/>
            <a:ext cx="17618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0</xdr:col>
      <xdr:colOff>390525</xdr:colOff>
      <xdr:row>26</xdr:row>
      <xdr:rowOff>0</xdr:rowOff>
    </xdr:from>
    <xdr:to>
      <xdr:col>1</xdr:col>
      <xdr:colOff>5073650</xdr:colOff>
      <xdr:row>52</xdr:row>
      <xdr:rowOff>19050</xdr:rowOff>
    </xdr:to>
    <xdr:grpSp>
      <xdr:nvGrpSpPr>
        <xdr:cNvPr id="8" name="使用公式進行轉置" descr="Transpose with a formula&#10;Sometimes you don't want to copy and paste to transpose. In this case, you can use a formula to transpose rows and columns. Here's how to do that:&#10;To transpose this data, you need to select some blank cells first. Since the data on the right has 6 columns and 2 rows, you need to select the opposite: 2 columns and 6 rows. Do this by selecting the yellow cells. &#10;This is kind of tricky, so pay close attention. With those cells still selected, type the following: =TRANSPOSE(C33:H34)  ….but don’t press Enter.&#10;Press Ctrl+Shift+Enter key&#10;If you get #VALUE! as a result, try again starting at step 1.&#10;Click any of the yellow cells to select just one. Look at the formula at the top of Excel. You’ll see that the formula looks like this:&#10;{=TRANSPOSE(C33:H34)}&#10;Click another yellow cell. Look at the formula bar again. The formula is the same. Why? Because this is an array formula">
          <a:extLst>
            <a:ext uri="{FF2B5EF4-FFF2-40B4-BE49-F238E27FC236}">
              <a16:creationId xmlns:a16="http://schemas.microsoft.com/office/drawing/2014/main" id="{00000000-0008-0000-0400-000008000000}"/>
            </a:ext>
          </a:extLst>
        </xdr:cNvPr>
        <xdr:cNvGrpSpPr/>
      </xdr:nvGrpSpPr>
      <xdr:grpSpPr>
        <a:xfrm>
          <a:off x="390525" y="5524500"/>
          <a:ext cx="5778500" cy="4972050"/>
          <a:chOff x="390525" y="5943600"/>
          <a:chExt cx="5695950" cy="5029200"/>
        </a:xfrm>
      </xdr:grpSpPr>
      <xdr:sp macro="" textlink="">
        <xdr:nvSpPr>
          <xdr:cNvPr id="141" name="矩形 140" descr="背景">
            <a:extLst>
              <a:ext uri="{FF2B5EF4-FFF2-40B4-BE49-F238E27FC236}">
                <a16:creationId xmlns:a16="http://schemas.microsoft.com/office/drawing/2014/main" id="{00000000-0008-0000-0400-00008D000000}"/>
              </a:ext>
            </a:extLst>
          </xdr:cNvPr>
          <xdr:cNvSpPr/>
        </xdr:nvSpPr>
        <xdr:spPr>
          <a:xfrm>
            <a:off x="390525" y="5943600"/>
            <a:ext cx="5695950" cy="50292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使用公式進行轉置">
            <a:extLst>
              <a:ext uri="{FF2B5EF4-FFF2-40B4-BE49-F238E27FC236}">
                <a16:creationId xmlns:a16="http://schemas.microsoft.com/office/drawing/2014/main" id="{00000000-0008-0000-0400-00008E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使用公式進行轉置</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3" name="直線接點​​ 142" descr="裝飾線條">
            <a:extLst>
              <a:ext uri="{FF2B5EF4-FFF2-40B4-BE49-F238E27FC236}">
                <a16:creationId xmlns:a16="http://schemas.microsoft.com/office/drawing/2014/main" id="{00000000-0008-0000-0400-00008F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4" name="直線接點 143" descr="裝飾線條">
            <a:extLst>
              <a:ext uri="{FF2B5EF4-FFF2-40B4-BE49-F238E27FC236}">
                <a16:creationId xmlns:a16="http://schemas.microsoft.com/office/drawing/2014/main" id="{00000000-0008-0000-0400-000090000000}"/>
              </a:ext>
            </a:extLst>
          </xdr:cNvPr>
          <xdr:cNvCxnSpPr>
            <a:cxnSpLocks/>
          </xdr:cNvCxnSpPr>
        </xdr:nvCxnSpPr>
        <xdr:spPr>
          <a:xfrm>
            <a:off x="625449" y="107528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5" name="步驟" descr="有時您不想要透過複製及貼上的方式來進行轉置。在此情況下，您可以使用公式將列和欄轉置。以下說明如何操作：">
            <a:extLst>
              <a:ext uri="{FF2B5EF4-FFF2-40B4-BE49-F238E27FC236}">
                <a16:creationId xmlns:a16="http://schemas.microsoft.com/office/drawing/2014/main" id="{00000000-0008-0000-0400-000091000000}"/>
              </a:ext>
            </a:extLst>
          </xdr:cNvPr>
          <xdr:cNvSpPr txBox="1"/>
        </xdr:nvSpPr>
        <xdr:spPr>
          <a:xfrm>
            <a:off x="619126" y="6652845"/>
            <a:ext cx="5170034"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有時</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您不想要透過複製及貼上的方式來進行轉置。在此情況下，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您可以使用公式</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將列和欄轉置。以下說明如何操作：</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6" name="步驟" descr="若要轉置此資料，您必須先選取部分空白儲存格。由於右側資料包含 6 欄和 2 列，因此您必須選取：2 欄和 6 列。請選取黃色儲存格來執行此操作">
            <a:extLst>
              <a:ext uri="{FF2B5EF4-FFF2-40B4-BE49-F238E27FC236}">
                <a16:creationId xmlns:a16="http://schemas.microsoft.com/office/drawing/2014/main" id="{00000000-0008-0000-0400-000092000000}"/>
              </a:ext>
            </a:extLst>
          </xdr:cNvPr>
          <xdr:cNvSpPr txBox="1"/>
        </xdr:nvSpPr>
        <xdr:spPr>
          <a:xfrm>
            <a:off x="1029308" y="7307721"/>
            <a:ext cx="4809516" cy="6976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若要轉置此資料，您必須先選取部分空白儲存格。由於右側資料包含 6 欄和 2 列，因此您必須選取：2 欄和 6 列。請選取黃色儲存格來執行此操作。 </a:t>
            </a:r>
          </a:p>
        </xdr:txBody>
      </xdr:sp>
      <xdr:sp macro="" textlink="">
        <xdr:nvSpPr>
          <xdr:cNvPr id="147" name="橢圓​​ 146" descr="1">
            <a:extLst>
              <a:ext uri="{FF2B5EF4-FFF2-40B4-BE49-F238E27FC236}">
                <a16:creationId xmlns:a16="http://schemas.microsoft.com/office/drawing/2014/main" id="{00000000-0008-0000-0400-000093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8" name="步驟" descr="This is kind of tricky, so pay close attention. With those cells still selected, type the following: =TRANSPOSE(C33:H34)  ….but don’t press Enter">
            <a:extLst>
              <a:ext uri="{FF2B5EF4-FFF2-40B4-BE49-F238E27FC236}">
                <a16:creationId xmlns:a16="http://schemas.microsoft.com/office/drawing/2014/main" id="{00000000-0008-0000-0400-000094000000}"/>
              </a:ext>
            </a:extLst>
          </xdr:cNvPr>
          <xdr:cNvSpPr txBox="1"/>
        </xdr:nvSpPr>
        <xdr:spPr>
          <a:xfrm>
            <a:off x="1029307" y="7898948"/>
            <a:ext cx="4809517" cy="61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這個步驟容易出錯，因此請特別注意。仍將這些儲存格保持選取</a:t>
            </a:r>
            <a:r>
              <a:rPr lang="zh-tw" sz="1100" i="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i="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然後輸入下列公式：</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=TRANSPOSE(C33:H34)</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，但不要按 Enter</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49" name="橢圓​​ 148" descr="2">
            <a:extLst>
              <a:ext uri="{FF2B5EF4-FFF2-40B4-BE49-F238E27FC236}">
                <a16:creationId xmlns:a16="http://schemas.microsoft.com/office/drawing/2014/main" id="{00000000-0008-0000-0400-000095000000}"/>
              </a:ext>
            </a:extLst>
          </xdr:cNvPr>
          <xdr:cNvSpPr/>
        </xdr:nvSpPr>
        <xdr:spPr>
          <a:xfrm>
            <a:off x="622274" y="78564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50" name="步驟" descr="按一下另一個黃色儲存格。再次查看資料編輯列。公式會是一樣的。為什麼？因為這是陣列公式">
            <a:extLst>
              <a:ext uri="{FF2B5EF4-FFF2-40B4-BE49-F238E27FC236}">
                <a16:creationId xmlns:a16="http://schemas.microsoft.com/office/drawing/2014/main" id="{00000000-0008-0000-0400-000096000000}"/>
              </a:ext>
            </a:extLst>
          </xdr:cNvPr>
          <xdr:cNvSpPr txBox="1"/>
        </xdr:nvSpPr>
        <xdr:spPr>
          <a:xfrm>
            <a:off x="1029307" y="10163548"/>
            <a:ext cx="4809517" cy="500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按一下另一個黃色儲存格。再次</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查看資料編輯列。</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公式會是一樣的。為什麼？因為這是</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陣列公式。</a:t>
            </a:r>
          </a:p>
        </xdr:txBody>
      </xdr:sp>
      <xdr:sp macro="" textlink="">
        <xdr:nvSpPr>
          <xdr:cNvPr id="151" name="橢圓​​ 150" descr="5">
            <a:extLst>
              <a:ext uri="{FF2B5EF4-FFF2-40B4-BE49-F238E27FC236}">
                <a16:creationId xmlns:a16="http://schemas.microsoft.com/office/drawing/2014/main" id="{00000000-0008-0000-0400-000097000000}"/>
              </a:ext>
            </a:extLst>
          </xdr:cNvPr>
          <xdr:cNvSpPr/>
        </xdr:nvSpPr>
        <xdr:spPr>
          <a:xfrm>
            <a:off x="622274" y="101210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52" name="步驟" descr="Press Ctrl+Shift+Enter key&#10;&#10;If you get #VALUE! as a result, try again starting at step 1">
            <a:extLst>
              <a:ext uri="{FF2B5EF4-FFF2-40B4-BE49-F238E27FC236}">
                <a16:creationId xmlns:a16="http://schemas.microsoft.com/office/drawing/2014/main" id="{00000000-0008-0000-0400-000098000000}"/>
              </a:ext>
            </a:extLst>
          </xdr:cNvPr>
          <xdr:cNvSpPr txBox="1"/>
        </xdr:nvSpPr>
        <xdr:spPr>
          <a:xfrm>
            <a:off x="1029307" y="8555511"/>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如果您因此收到 #VALUE!，請嘗試從步驟 1 再操作一次。 </a:t>
            </a:r>
          </a:p>
        </xdr:txBody>
      </xdr:sp>
      <xdr:sp macro="" textlink="">
        <xdr:nvSpPr>
          <xdr:cNvPr id="153" name="橢圓​​ 152" descr="3">
            <a:extLst>
              <a:ext uri="{FF2B5EF4-FFF2-40B4-BE49-F238E27FC236}">
                <a16:creationId xmlns:a16="http://schemas.microsoft.com/office/drawing/2014/main" id="{00000000-0008-0000-0400-000099000000}"/>
              </a:ext>
            </a:extLst>
          </xdr:cNvPr>
          <xdr:cNvSpPr/>
        </xdr:nvSpPr>
        <xdr:spPr>
          <a:xfrm>
            <a:off x="622274" y="85130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54" name="步驟" descr="Click any of the yellow cells to select just one. Look at the formula at the top of Excel. You’ll see that the formula looks like this:&#10;{=TRANSPOSE(C33:H34)}">
            <a:extLst>
              <a:ext uri="{FF2B5EF4-FFF2-40B4-BE49-F238E27FC236}">
                <a16:creationId xmlns:a16="http://schemas.microsoft.com/office/drawing/2014/main" id="{00000000-0008-0000-0400-00009A000000}"/>
              </a:ext>
            </a:extLst>
          </xdr:cNvPr>
          <xdr:cNvSpPr txBox="1"/>
        </xdr:nvSpPr>
        <xdr:spPr>
          <a:xfrm>
            <a:off x="1029307" y="9226886"/>
            <a:ext cx="4809517" cy="91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按一下任一個黃色儲存格來選取一個儲存格。查看 Excel 頂端的公式。您會看到如下所示的公式：</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rtl="0"/>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{=TRANSPOSE(C33:H34)}</a:t>
            </a:r>
            <a:br>
              <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55" name="橢圓​​ 154" descr="4">
            <a:extLst>
              <a:ext uri="{FF2B5EF4-FFF2-40B4-BE49-F238E27FC236}">
                <a16:creationId xmlns:a16="http://schemas.microsoft.com/office/drawing/2014/main" id="{00000000-0008-0000-0400-00009B000000}"/>
              </a:ext>
            </a:extLst>
          </xdr:cNvPr>
          <xdr:cNvSpPr/>
        </xdr:nvSpPr>
        <xdr:spPr>
          <a:xfrm>
            <a:off x="622274" y="91843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8" name="矩形​​：圓角 137" descr="Ctrl 鍵">
            <a:extLst>
              <a:ext uri="{FF2B5EF4-FFF2-40B4-BE49-F238E27FC236}">
                <a16:creationId xmlns:a16="http://schemas.microsoft.com/office/drawing/2014/main" id="{00000000-0008-0000-0400-00008A000000}"/>
              </a:ext>
            </a:extLst>
          </xdr:cNvPr>
          <xdr:cNvSpPr/>
        </xdr:nvSpPr>
        <xdr:spPr>
          <a:xfrm>
            <a:off x="1349895" y="8558924"/>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p>
        </xdr:txBody>
      </xdr:sp>
      <xdr:sp macro="" textlink="">
        <xdr:nvSpPr>
          <xdr:cNvPr id="139" name="矩形​​：圓角 138" descr="Shift 鍵">
            <a:extLst>
              <a:ext uri="{FF2B5EF4-FFF2-40B4-BE49-F238E27FC236}">
                <a16:creationId xmlns:a16="http://schemas.microsoft.com/office/drawing/2014/main" id="{00000000-0008-0000-0400-00008B000000}"/>
              </a:ext>
            </a:extLst>
          </xdr:cNvPr>
          <xdr:cNvSpPr/>
        </xdr:nvSpPr>
        <xdr:spPr>
          <a:xfrm>
            <a:off x="1894297" y="8558924"/>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Shift</a:t>
            </a:r>
          </a:p>
        </xdr:txBody>
      </xdr:sp>
      <xdr:sp macro="" textlink="">
        <xdr:nvSpPr>
          <xdr:cNvPr id="140" name="矩形​​：圓角 139" descr="Enter 鍵">
            <a:extLst>
              <a:ext uri="{FF2B5EF4-FFF2-40B4-BE49-F238E27FC236}">
                <a16:creationId xmlns:a16="http://schemas.microsoft.com/office/drawing/2014/main" id="{00000000-0008-0000-0400-00008C000000}"/>
              </a:ext>
            </a:extLst>
          </xdr:cNvPr>
          <xdr:cNvSpPr/>
        </xdr:nvSpPr>
        <xdr:spPr>
          <a:xfrm>
            <a:off x="2447016" y="8558924"/>
            <a:ext cx="48790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grpSp>
    <xdr:clientData/>
  </xdr:twoCellAnchor>
  <xdr:twoCellAnchor editAs="oneCell">
    <xdr:from>
      <xdr:col>0</xdr:col>
      <xdr:colOff>390525</xdr:colOff>
      <xdr:row>53</xdr:row>
      <xdr:rowOff>9524</xdr:rowOff>
    </xdr:from>
    <xdr:to>
      <xdr:col>1</xdr:col>
      <xdr:colOff>5073650</xdr:colOff>
      <xdr:row>70</xdr:row>
      <xdr:rowOff>19049</xdr:rowOff>
    </xdr:to>
    <xdr:grpSp>
      <xdr:nvGrpSpPr>
        <xdr:cNvPr id="157" name="什麼是陣列公式？" descr="What's an array formula?&#10;An array formula can perform calculations on more than one cell in an array. In the example above, the array is the original data set in cells C33:H34. The TRANSPOSE function then switches the horizontal orientation of the cells to a vertical orientation. &#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9D000000}"/>
            </a:ext>
          </a:extLst>
        </xdr:cNvPr>
        <xdr:cNvGrpSpPr/>
      </xdr:nvGrpSpPr>
      <xdr:grpSpPr>
        <a:xfrm>
          <a:off x="390525" y="10677524"/>
          <a:ext cx="5778500" cy="3248025"/>
          <a:chOff x="0" y="-9524"/>
          <a:chExt cx="5695950" cy="3105150"/>
        </a:xfrm>
      </xdr:grpSpPr>
      <xdr:sp macro="" textlink="">
        <xdr:nvSpPr>
          <xdr:cNvPr id="161" name="矩形 160" descr="背景">
            <a:extLst>
              <a:ext uri="{FF2B5EF4-FFF2-40B4-BE49-F238E27FC236}">
                <a16:creationId xmlns:a16="http://schemas.microsoft.com/office/drawing/2014/main" id="{00000000-0008-0000-0400-0000A1000000}"/>
              </a:ext>
            </a:extLst>
          </xdr:cNvPr>
          <xdr:cNvSpPr/>
        </xdr:nvSpPr>
        <xdr:spPr>
          <a:xfrm>
            <a:off x="0" y="-9524"/>
            <a:ext cx="5695950" cy="3105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2" name="步驟" descr="什麼是陣列公式？">
            <a:extLst>
              <a:ext uri="{FF2B5EF4-FFF2-40B4-BE49-F238E27FC236}">
                <a16:creationId xmlns:a16="http://schemas.microsoft.com/office/drawing/2014/main" id="{00000000-0008-0000-0400-0000A2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什麼是陣列公式？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3" name="直線接點​​ 162" descr="裝飾線條">
            <a:extLst>
              <a:ext uri="{FF2B5EF4-FFF2-40B4-BE49-F238E27FC236}">
                <a16:creationId xmlns:a16="http://schemas.microsoft.com/office/drawing/2014/main" id="{00000000-0008-0000-0400-0000A3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直線接點​​ 163" descr="裝飾線條">
            <a:extLst>
              <a:ext uri="{FF2B5EF4-FFF2-40B4-BE49-F238E27FC236}">
                <a16:creationId xmlns:a16="http://schemas.microsoft.com/office/drawing/2014/main" id="{00000000-0008-0000-0400-0000A4000000}"/>
              </a:ext>
            </a:extLst>
          </xdr:cNvPr>
          <xdr:cNvCxnSpPr>
            <a:cxnSpLocks/>
          </xdr:cNvCxnSpPr>
        </xdr:nvCxnSpPr>
        <xdr:spPr>
          <a:xfrm>
            <a:off x="234924" y="28280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步驟" descr="An array formula can perform calculations on more than one cell in an array. In the example above, the array is the original data set in cells C33:H34. The TRANSPOSE function then switches the horizontal orientation of the cells to a vertical orientation. &#10;&#10;You always finish an array formula with CTRL+SHIFT+ENTER, not just ENTER. Pressing CTRL+SHIFT+ENTER calculates the function against the array. When you're done, Excel puts special brackets { } around the formula. These brackets are a visual clue that the selected cell is part of an array formula. You can't type these brackets yourself. Excel puts them in when you press CTRL+SHIFT+ENTER">
            <a:extLst>
              <a:ext uri="{FF2B5EF4-FFF2-40B4-BE49-F238E27FC236}">
                <a16:creationId xmlns:a16="http://schemas.microsoft.com/office/drawing/2014/main" id="{00000000-0008-0000-0400-0000A5000000}"/>
              </a:ext>
            </a:extLst>
          </xdr:cNvPr>
          <xdr:cNvSpPr txBox="1"/>
        </xdr:nvSpPr>
        <xdr:spPr>
          <a:xfrm>
            <a:off x="228600" y="699721"/>
            <a:ext cx="5179423" cy="2024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陣列公式可以對陣列中的</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多個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儲存格執行計算。在上述範例中，陣列為儲存格 C33:H34 </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中</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的原始資料集。TRANSPOSE 函數之後會將</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儲存格的方向從水平切換成垂直。 </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您隨時可以按 CTRL+SHIFT+ENTER 來完成陣列公式，而不是按 ENTER。按 CTRL+SHIFT+ENTER 來計算陣列的函數。完成時，Excel 會使用特殊的括號 { } 包住公式。這種括號是一種視覺提示，指出選取的儲存格是陣列公式的一部分。您無法自行輸入這些括號。Excel 會在您按 CTRL+SHIFT+ENTER 時加上這些括號。 </a:t>
            </a:r>
          </a:p>
        </xdr:txBody>
      </xdr:sp>
    </xdr:grpSp>
    <xdr:clientData/>
  </xdr:twoCellAnchor>
  <xdr:twoCellAnchor editAs="oneCell">
    <xdr:from>
      <xdr:col>2</xdr:col>
      <xdr:colOff>31749</xdr:colOff>
      <xdr:row>49</xdr:row>
      <xdr:rowOff>19049</xdr:rowOff>
    </xdr:from>
    <xdr:to>
      <xdr:col>7</xdr:col>
      <xdr:colOff>625475</xdr:colOff>
      <xdr:row>65</xdr:row>
      <xdr:rowOff>85724</xdr:rowOff>
    </xdr:to>
    <xdr:grpSp>
      <xdr:nvGrpSpPr>
        <xdr:cNvPr id="7" name="注意事項…"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07000000}"/>
            </a:ext>
          </a:extLst>
        </xdr:cNvPr>
        <xdr:cNvGrpSpPr/>
      </xdr:nvGrpSpPr>
      <xdr:grpSpPr>
        <a:xfrm>
          <a:off x="6575424" y="9925049"/>
          <a:ext cx="4403726" cy="3114675"/>
          <a:chOff x="6403974" y="10344150"/>
          <a:chExt cx="3883026" cy="2819400"/>
        </a:xfrm>
      </xdr:grpSpPr>
      <xdr:sp macro="" textlink="">
        <xdr:nvSpPr>
          <xdr:cNvPr id="176" name="步驟" descr="KEEP IN MIND…&#10;There are three things to keep in mind when using an array formula: &#10;&#10;1) Always select multiple cells first, and then with those cells selected, start typing the array formula. That's the key: Select multiple cells first, then start typing.&#10;&#10;2) When you're done typing an array formula, press &#10;CTRL+SHIFT +ENTER.&#10;&#10;3) Once you enter an array formula, you cannot interrupt that new array. For example, you cannot type over or delete just one of the cells. You also cannot insert a new row or column within that array.  If you need to any of that, select all of the cells that have the array formula, press Delete, and then make your changes and recreate the formula">
            <a:extLst>
              <a:ext uri="{FF2B5EF4-FFF2-40B4-BE49-F238E27FC236}">
                <a16:creationId xmlns:a16="http://schemas.microsoft.com/office/drawing/2014/main" id="{00000000-0008-0000-0400-0000B0000000}"/>
              </a:ext>
            </a:extLst>
          </xdr:cNvPr>
          <xdr:cNvSpPr txBox="1"/>
        </xdr:nvSpPr>
        <xdr:spPr>
          <a:xfrm>
            <a:off x="6705603" y="10344150"/>
            <a:ext cx="3581397" cy="2819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注意事項…</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使用陣列公式時請注意以下三個事項： </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1)</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先選取多個儲存格，然後對那些選取的儲存格，開始輸入陣列公式。這點非常重要：先選取多個儲存格，然後開始輸入公式。</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2)</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輸入好陣列公式之後，請按  </a:t>
            </a:r>
            <a:br>
              <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b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CTRL+SHIFT +ENTER。</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3)</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陣列公式輸入完成後，您就無法中斷新陣列。例如，您無法覆寫或刪除其中一個儲存格。此外，您也無法在陣列中插入新的列或欄中。如果您必須這麼做，請選取包含陣列公式的所有儲存格，按 Delete，然後進行變更並重新建立公式。</a:t>
            </a:r>
          </a:p>
        </xdr:txBody>
      </xdr:sp>
      <xdr:pic>
        <xdr:nvPicPr>
          <xdr:cNvPr id="177" name="圖形 131" descr="含齒輪的頭">
            <a:extLst>
              <a:ext uri="{FF2B5EF4-FFF2-40B4-BE49-F238E27FC236}">
                <a16:creationId xmlns:a16="http://schemas.microsoft.com/office/drawing/2014/main" id="{00000000-0008-0000-0400-0000B1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flipH="1">
            <a:off x="6403974" y="10408233"/>
            <a:ext cx="377826" cy="377826"/>
          </a:xfrm>
          <a:prstGeom prst="rect">
            <a:avLst/>
          </a:prstGeom>
        </xdr:spPr>
      </xdr:pic>
    </xdr:grpSp>
    <xdr:clientData/>
  </xdr:twoCellAnchor>
  <xdr:twoCellAnchor editAs="oneCell">
    <xdr:from>
      <xdr:col>2</xdr:col>
      <xdr:colOff>76200</xdr:colOff>
      <xdr:row>67</xdr:row>
      <xdr:rowOff>85725</xdr:rowOff>
    </xdr:from>
    <xdr:to>
      <xdr:col>7</xdr:col>
      <xdr:colOff>311149</xdr:colOff>
      <xdr:row>72</xdr:row>
      <xdr:rowOff>81327</xdr:rowOff>
    </xdr:to>
    <xdr:grpSp>
      <xdr:nvGrpSpPr>
        <xdr:cNvPr id="6" name="Excel 說明" descr="Excel 說明：因為陣列公式需要用到 CTRL+SHIFT+ENTER，因此某些人員將陣列公式稱為「CSE 公式」">
          <a:extLst>
            <a:ext uri="{FF2B5EF4-FFF2-40B4-BE49-F238E27FC236}">
              <a16:creationId xmlns:a16="http://schemas.microsoft.com/office/drawing/2014/main" id="{00000000-0008-0000-0400-000006000000}"/>
            </a:ext>
          </a:extLst>
        </xdr:cNvPr>
        <xdr:cNvGrpSpPr/>
      </xdr:nvGrpSpPr>
      <xdr:grpSpPr>
        <a:xfrm>
          <a:off x="6619875" y="13420725"/>
          <a:ext cx="4044949" cy="948102"/>
          <a:chOff x="6448425" y="13201650"/>
          <a:chExt cx="3733799" cy="948102"/>
        </a:xfrm>
      </xdr:grpSpPr>
      <xdr:pic>
        <xdr:nvPicPr>
          <xdr:cNvPr id="188" name="圖形 3" descr="人員">
            <a:extLst>
              <a:ext uri="{FF2B5EF4-FFF2-40B4-BE49-F238E27FC236}">
                <a16:creationId xmlns:a16="http://schemas.microsoft.com/office/drawing/2014/main" id="{00000000-0008-0000-0400-0000BC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6515958" y="13339385"/>
            <a:ext cx="249354" cy="249353"/>
          </a:xfrm>
          <a:prstGeom prst="rect">
            <a:avLst/>
          </a:prstGeom>
        </xdr:spPr>
      </xdr:pic>
      <xdr:sp macro="" textlink="">
        <xdr:nvSpPr>
          <xdr:cNvPr id="189" name="對話泡泡：橢圓 188" descr="引述">
            <a:extLst>
              <a:ext uri="{FF2B5EF4-FFF2-40B4-BE49-F238E27FC236}">
                <a16:creationId xmlns:a16="http://schemas.microsoft.com/office/drawing/2014/main" id="{00000000-0008-0000-0400-0000BD000000}"/>
              </a:ext>
            </a:extLst>
          </xdr:cNvPr>
          <xdr:cNvSpPr/>
        </xdr:nvSpPr>
        <xdr:spPr>
          <a:xfrm flipH="1">
            <a:off x="6448425" y="13272546"/>
            <a:ext cx="135067" cy="109164"/>
          </a:xfrm>
          <a:prstGeom prst="wedgeEllipseCallout">
            <a:avLst>
              <a:gd name="adj1" fmla="val -53664"/>
              <a:gd name="adj2" fmla="val 94316"/>
            </a:avLst>
          </a:prstGeom>
          <a:solidFill>
            <a:schemeClr val="accent2">
              <a:lumMod val="60000"/>
              <a:lumOff val="40000"/>
            </a:schemeClr>
          </a:solidFill>
          <a:ln w="3870">
            <a:no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endParaRPr lang="en-US">
              <a:latin typeface="Microsoft JhengHei UI" panose="020B0604030504040204" pitchFamily="34" charset="-120"/>
              <a:ea typeface="Microsoft JhengHei UI" panose="020B0604030504040204" pitchFamily="34" charset="-120"/>
            </a:endParaRPr>
          </a:p>
        </xdr:txBody>
      </xdr:sp>
      <xdr:sp macro="" textlink="">
        <xdr:nvSpPr>
          <xdr:cNvPr id="187" name="步驟" descr="EXCEL SPEAK&#10;Because array formulas require CTRL+SHIFT+ENTER, some people informally call array formulas, &quot;CSE formulas">
            <a:extLst>
              <a:ext uri="{FF2B5EF4-FFF2-40B4-BE49-F238E27FC236}">
                <a16:creationId xmlns:a16="http://schemas.microsoft.com/office/drawing/2014/main" id="{00000000-0008-0000-0400-0000BB000000}"/>
              </a:ext>
            </a:extLst>
          </xdr:cNvPr>
          <xdr:cNvSpPr txBox="1"/>
        </xdr:nvSpPr>
        <xdr:spPr>
          <a:xfrm>
            <a:off x="6695693" y="13201650"/>
            <a:ext cx="348653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Excel 說明</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因為陣列公式需要用到 CTRL+SHIFT+ENTER，因此某些人員將陣列公式稱為「CSE 公式」。 </a:t>
            </a:r>
          </a:p>
        </xdr:txBody>
      </xdr:sp>
    </xdr:grpSp>
    <xdr:clientData/>
  </xdr:twoCellAnchor>
  <xdr:twoCellAnchor editAs="oneCell">
    <xdr:from>
      <xdr:col>0</xdr:col>
      <xdr:colOff>390525</xdr:colOff>
      <xdr:row>70</xdr:row>
      <xdr:rowOff>171450</xdr:rowOff>
    </xdr:from>
    <xdr:to>
      <xdr:col>1</xdr:col>
      <xdr:colOff>5073650</xdr:colOff>
      <xdr:row>87</xdr:row>
      <xdr:rowOff>171450</xdr:rowOff>
    </xdr:to>
    <xdr:grpSp>
      <xdr:nvGrpSpPr>
        <xdr:cNvPr id="5" name="網路上的更多資訊" descr="More information on the web, contains links to the web&#10;Back to top&#10;Next step">
          <a:extLst>
            <a:ext uri="{FF2B5EF4-FFF2-40B4-BE49-F238E27FC236}">
              <a16:creationId xmlns:a16="http://schemas.microsoft.com/office/drawing/2014/main" id="{00000000-0008-0000-0400-000005000000}"/>
            </a:ext>
          </a:extLst>
        </xdr:cNvPr>
        <xdr:cNvGrpSpPr/>
      </xdr:nvGrpSpPr>
      <xdr:grpSpPr>
        <a:xfrm>
          <a:off x="390525" y="14077950"/>
          <a:ext cx="5778500" cy="3238500"/>
          <a:chOff x="390525" y="14468475"/>
          <a:chExt cx="5695950" cy="3267075"/>
        </a:xfrm>
      </xdr:grpSpPr>
      <xdr:sp macro="" textlink="">
        <xdr:nvSpPr>
          <xdr:cNvPr id="191" name="矩形 190" descr="背景">
            <a:extLst>
              <a:ext uri="{FF2B5EF4-FFF2-40B4-BE49-F238E27FC236}">
                <a16:creationId xmlns:a16="http://schemas.microsoft.com/office/drawing/2014/main" id="{00000000-0008-0000-0400-0000BF000000}"/>
              </a:ext>
            </a:extLst>
          </xdr:cNvPr>
          <xdr:cNvSpPr/>
        </xdr:nvSpPr>
        <xdr:spPr>
          <a:xfrm>
            <a:off x="390525" y="14468475"/>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92" name="步驟" descr="Web 上的更多資訊">
            <a:extLst>
              <a:ext uri="{FF2B5EF4-FFF2-40B4-BE49-F238E27FC236}">
                <a16:creationId xmlns:a16="http://schemas.microsoft.com/office/drawing/2014/main" id="{00000000-0008-0000-0400-0000C0000000}"/>
              </a:ext>
            </a:extLst>
          </xdr:cNvPr>
          <xdr:cNvSpPr txBox="1"/>
        </xdr:nvSpPr>
        <xdr:spPr>
          <a:xfrm>
            <a:off x="622273" y="145871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網頁上有更多資訊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93" name="直線接點​​ 192" descr="裝飾線條">
            <a:extLst>
              <a:ext uri="{FF2B5EF4-FFF2-40B4-BE49-F238E27FC236}">
                <a16:creationId xmlns:a16="http://schemas.microsoft.com/office/drawing/2014/main" id="{00000000-0008-0000-0400-0000C1000000}"/>
              </a:ext>
            </a:extLst>
          </xdr:cNvPr>
          <xdr:cNvCxnSpPr>
            <a:cxnSpLocks/>
          </xdr:cNvCxnSpPr>
        </xdr:nvCxnSpPr>
        <xdr:spPr>
          <a:xfrm>
            <a:off x="625449" y="150945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4" name="[下一步] 按鈕" descr="回到頁首，附有移至儲存格 A1 的超連結">
            <a:hlinkClick xmlns:r="http://schemas.openxmlformats.org/officeDocument/2006/relationships" r:id="rId7" tooltip="選取以回到此工作表中的儲存格 A1"/>
            <a:extLst>
              <a:ext uri="{FF2B5EF4-FFF2-40B4-BE49-F238E27FC236}">
                <a16:creationId xmlns:a16="http://schemas.microsoft.com/office/drawing/2014/main" id="{00000000-0008-0000-0400-0000C2000000}"/>
              </a:ext>
            </a:extLst>
          </xdr:cNvPr>
          <xdr:cNvSpPr/>
        </xdr:nvSpPr>
        <xdr:spPr>
          <a:xfrm>
            <a:off x="625449" y="1697125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95" name="直線接點​​ 194" descr="裝飾線條">
            <a:extLst>
              <a:ext uri="{FF2B5EF4-FFF2-40B4-BE49-F238E27FC236}">
                <a16:creationId xmlns:a16="http://schemas.microsoft.com/office/drawing/2014/main" id="{00000000-0008-0000-0400-0000C3000000}"/>
              </a:ext>
            </a:extLst>
          </xdr:cNvPr>
          <xdr:cNvCxnSpPr>
            <a:cxnSpLocks/>
          </xdr:cNvCxnSpPr>
        </xdr:nvCxnSpPr>
        <xdr:spPr>
          <a:xfrm>
            <a:off x="625449" y="167259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96"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400-0000C4000000}"/>
              </a:ext>
            </a:extLst>
          </xdr:cNvPr>
          <xdr:cNvSpPr/>
        </xdr:nvSpPr>
        <xdr:spPr>
          <a:xfrm>
            <a:off x="4684395" y="1716175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97" name="步驟" descr="將資料從列轉置 (旋轉) 到欄或反向操作，附有移至 Web 的超連結">
            <a:hlinkClick xmlns:r="http://schemas.openxmlformats.org/officeDocument/2006/relationships" r:id="rId8" tooltip="選取以從 Web 了解如何將資料從列轉置 (旋轉) 到欄或反向操作"/>
            <a:extLst>
              <a:ext uri="{FF2B5EF4-FFF2-40B4-BE49-F238E27FC236}">
                <a16:creationId xmlns:a16="http://schemas.microsoft.com/office/drawing/2014/main" id="{00000000-0008-0000-0400-0000C5000000}"/>
              </a:ext>
            </a:extLst>
          </xdr:cNvPr>
          <xdr:cNvSpPr txBox="1"/>
        </xdr:nvSpPr>
        <xdr:spPr>
          <a:xfrm>
            <a:off x="1029308" y="15263324"/>
            <a:ext cx="38093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將資料從列轉置 (旋轉) 到欄或反向操作</a:t>
            </a:r>
          </a:p>
        </xdr:txBody>
      </xdr:sp>
      <xdr:pic>
        <xdr:nvPicPr>
          <xdr:cNvPr id="198"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400-0000C6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168047"/>
            <a:ext cx="454554" cy="448472"/>
          </a:xfrm>
          <a:prstGeom prst="rect">
            <a:avLst/>
          </a:prstGeom>
        </xdr:spPr>
      </xdr:pic>
      <xdr:sp macro="" textlink="">
        <xdr:nvSpPr>
          <xdr:cNvPr id="199" name="步驟" descr="全面了解 TRANPOSE 函數，附有移至 Web 的超連結">
            <a:hlinkClick xmlns:r="http://schemas.openxmlformats.org/officeDocument/2006/relationships" r:id="rId11" tooltip="選取以從 Web 全面了解 TRANSPOSE 函數"/>
            <a:extLst>
              <a:ext uri="{FF2B5EF4-FFF2-40B4-BE49-F238E27FC236}">
                <a16:creationId xmlns:a16="http://schemas.microsoft.com/office/drawing/2014/main" id="{00000000-0008-0000-0400-0000C7000000}"/>
              </a:ext>
            </a:extLst>
          </xdr:cNvPr>
          <xdr:cNvSpPr txBox="1"/>
        </xdr:nvSpPr>
        <xdr:spPr>
          <a:xfrm>
            <a:off x="1029308" y="15727931"/>
            <a:ext cx="234254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全面了解 TRANSPOSE 函數</a:t>
            </a:r>
          </a:p>
        </xdr:txBody>
      </xdr:sp>
      <xdr:pic>
        <xdr:nvPicPr>
          <xdr:cNvPr id="200"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400-0000C8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5625901"/>
            <a:ext cx="454554" cy="448472"/>
          </a:xfrm>
          <a:prstGeom prst="rect">
            <a:avLst/>
          </a:prstGeom>
        </xdr:spPr>
      </xdr:pic>
      <xdr:sp macro="" textlink="">
        <xdr:nvSpPr>
          <xdr:cNvPr id="201" name="步驟" descr="建立陣列公式，附有移至 Web 的超連結">
            <a:hlinkClick xmlns:r="http://schemas.openxmlformats.org/officeDocument/2006/relationships" r:id="rId12" tooltip="選取以從 Web 了解如何建立陣列公式"/>
            <a:extLst>
              <a:ext uri="{FF2B5EF4-FFF2-40B4-BE49-F238E27FC236}">
                <a16:creationId xmlns:a16="http://schemas.microsoft.com/office/drawing/2014/main" id="{00000000-0008-0000-0400-0000C9000000}"/>
              </a:ext>
            </a:extLst>
          </xdr:cNvPr>
          <xdr:cNvSpPr txBox="1"/>
        </xdr:nvSpPr>
        <xdr:spPr>
          <a:xfrm>
            <a:off x="1029308" y="16195097"/>
            <a:ext cx="17424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建立陣列公式</a:t>
            </a:r>
          </a:p>
        </xdr:txBody>
      </xdr:sp>
      <xdr:pic>
        <xdr:nvPicPr>
          <xdr:cNvPr id="202"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400-0000C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2028" y="16093067"/>
            <a:ext cx="454554" cy="448472"/>
          </a:xfrm>
          <a:prstGeom prst="rect">
            <a:avLst/>
          </a:prstGeom>
        </xdr:spPr>
      </xdr:pic>
    </xdr:grpSp>
    <xdr:clientData/>
  </xdr:twoCellAnchor>
  <xdr:twoCellAnchor editAs="absolute">
    <xdr:from>
      <xdr:col>1</xdr:col>
      <xdr:colOff>3435350</xdr:colOff>
      <xdr:row>9</xdr:row>
      <xdr:rowOff>66675</xdr:rowOff>
    </xdr:from>
    <xdr:to>
      <xdr:col>1</xdr:col>
      <xdr:colOff>3980323</xdr:colOff>
      <xdr:row>12</xdr:row>
      <xdr:rowOff>161842</xdr:rowOff>
    </xdr:to>
    <xdr:grpSp>
      <xdr:nvGrpSpPr>
        <xdr:cNvPr id="3" name="[貼上] 按鈕" descr="[貼上] 按鈕和箭號">
          <a:extLst>
            <a:ext uri="{FF2B5EF4-FFF2-40B4-BE49-F238E27FC236}">
              <a16:creationId xmlns:a16="http://schemas.microsoft.com/office/drawing/2014/main" id="{00000000-0008-0000-0400-000003000000}"/>
            </a:ext>
          </a:extLst>
        </xdr:cNvPr>
        <xdr:cNvGrpSpPr/>
      </xdr:nvGrpSpPr>
      <xdr:grpSpPr>
        <a:xfrm>
          <a:off x="4530725" y="2352675"/>
          <a:ext cx="544973" cy="666667"/>
          <a:chOff x="4838700" y="2324100"/>
          <a:chExt cx="544973" cy="666667"/>
        </a:xfrm>
      </xdr:grpSpPr>
      <xdr:pic>
        <xdr:nvPicPr>
          <xdr:cNvPr id="2" name="圖片 1" descr="[貼上] 按鈕">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3"/>
          <a:srcRect/>
          <a:stretch/>
        </xdr:blipFill>
        <xdr:spPr>
          <a:xfrm>
            <a:off x="4838700" y="2324100"/>
            <a:ext cx="409523" cy="666667"/>
          </a:xfrm>
          <a:prstGeom prst="rect">
            <a:avLst/>
          </a:prstGeom>
          <a:ln>
            <a:solidFill>
              <a:schemeClr val="bg1">
                <a:lumMod val="75000"/>
              </a:schemeClr>
            </a:solidFill>
          </a:ln>
        </xdr:spPr>
      </xdr:pic>
      <xdr:sp macro="" textlink="">
        <xdr:nvSpPr>
          <xdr:cNvPr id="104" name="弧線 103" descr="箭號">
            <a:extLst>
              <a:ext uri="{FF2B5EF4-FFF2-40B4-BE49-F238E27FC236}">
                <a16:creationId xmlns:a16="http://schemas.microsoft.com/office/drawing/2014/main" id="{00000000-0008-0000-0400-000068000000}"/>
              </a:ext>
            </a:extLst>
          </xdr:cNvPr>
          <xdr:cNvSpPr/>
        </xdr:nvSpPr>
        <xdr:spPr>
          <a:xfrm rot="10529789" flipH="1">
            <a:off x="4920960" y="2507914"/>
            <a:ext cx="462713" cy="398577"/>
          </a:xfrm>
          <a:prstGeom prst="arc">
            <a:avLst>
              <a:gd name="adj1" fmla="val 15011426"/>
              <a:gd name="adj2" fmla="val 20926965"/>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clientData/>
  </xdr:twoCellAnchor>
  <xdr:twoCellAnchor editAs="oneCell">
    <xdr:from>
      <xdr:col>5</xdr:col>
      <xdr:colOff>304798</xdr:colOff>
      <xdr:row>7</xdr:row>
      <xdr:rowOff>142875</xdr:rowOff>
    </xdr:from>
    <xdr:to>
      <xdr:col>7</xdr:col>
      <xdr:colOff>723898</xdr:colOff>
      <xdr:row>12</xdr:row>
      <xdr:rowOff>138477</xdr:rowOff>
    </xdr:to>
    <xdr:grpSp>
      <xdr:nvGrpSpPr>
        <xdr:cNvPr id="4" name="專家級祕訣" descr="專家級祕訣：[選擇性貼上] 的快速鍵是 CTRL+ALT+V">
          <a:extLst>
            <a:ext uri="{FF2B5EF4-FFF2-40B4-BE49-F238E27FC236}">
              <a16:creationId xmlns:a16="http://schemas.microsoft.com/office/drawing/2014/main" id="{00000000-0008-0000-0400-000004000000}"/>
            </a:ext>
          </a:extLst>
        </xdr:cNvPr>
        <xdr:cNvGrpSpPr/>
      </xdr:nvGrpSpPr>
      <xdr:grpSpPr>
        <a:xfrm>
          <a:off x="9134473" y="2047875"/>
          <a:ext cx="1943100" cy="948102"/>
          <a:chOff x="8448675" y="2143125"/>
          <a:chExt cx="1785358" cy="948102"/>
        </a:xfrm>
      </xdr:grpSpPr>
      <xdr:pic>
        <xdr:nvPicPr>
          <xdr:cNvPr id="107" name="圖形 2" descr="貓頭鷹">
            <a:extLst>
              <a:ext uri="{FF2B5EF4-FFF2-40B4-BE49-F238E27FC236}">
                <a16:creationId xmlns:a16="http://schemas.microsoft.com/office/drawing/2014/main" id="{00000000-0008-0000-0400-00006B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8448675" y="2170284"/>
            <a:ext cx="444647" cy="444647"/>
          </a:xfrm>
          <a:prstGeom prst="rect">
            <a:avLst/>
          </a:prstGeom>
        </xdr:spPr>
      </xdr:pic>
      <xdr:sp macro="" textlink="">
        <xdr:nvSpPr>
          <xdr:cNvPr id="108" name="步驟" descr="EXPERT TIP&#10;The shortcut key for Paste Special is CTRL+ALT+V">
            <a:extLst>
              <a:ext uri="{FF2B5EF4-FFF2-40B4-BE49-F238E27FC236}">
                <a16:creationId xmlns:a16="http://schemas.microsoft.com/office/drawing/2014/main" id="{00000000-0008-0000-0400-00006C000000}"/>
              </a:ext>
            </a:extLst>
          </xdr:cNvPr>
          <xdr:cNvSpPr txBox="1"/>
        </xdr:nvSpPr>
        <xdr:spPr>
          <a:xfrm>
            <a:off x="8782052" y="2143125"/>
            <a:ext cx="1451981"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專家級祕訣</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[選擇性貼上] 的快速鍵是 CTRL+ALT+V。</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0</xdr:colOff>
      <xdr:row>13</xdr:row>
      <xdr:rowOff>190499</xdr:rowOff>
    </xdr:from>
    <xdr:to>
      <xdr:col>5</xdr:col>
      <xdr:colOff>965199</xdr:colOff>
      <xdr:row>22</xdr:row>
      <xdr:rowOff>38100</xdr:rowOff>
    </xdr:to>
    <xdr:grpSp>
      <xdr:nvGrpSpPr>
        <xdr:cNvPr id="6" name="祕笈" descr="祕笈：完成步驟 5 之後，試著將兩欄按字母順序排序，方法如下：首先，按字母順序排序 [部門] (也就是左側的步驟 1)，然後按一下 [常用] &gt; [排序與篩選] &gt; [自訂排序]，新增第二層的 [類別]。按一下 [確定] 之後，系統隨即會排序 [部門]，並且按字母順序排序每個部門內的 [類別] 列">
          <a:extLst>
            <a:ext uri="{FF2B5EF4-FFF2-40B4-BE49-F238E27FC236}">
              <a16:creationId xmlns:a16="http://schemas.microsoft.com/office/drawing/2014/main" id="{00000000-0008-0000-0500-000006000000}"/>
            </a:ext>
          </a:extLst>
        </xdr:cNvPr>
        <xdr:cNvGrpSpPr/>
      </xdr:nvGrpSpPr>
      <xdr:grpSpPr>
        <a:xfrm>
          <a:off x="6543675" y="3238499"/>
          <a:ext cx="4270374" cy="1562101"/>
          <a:chOff x="7248525" y="3467099"/>
          <a:chExt cx="3943349" cy="1362075"/>
        </a:xfrm>
      </xdr:grpSpPr>
      <xdr:sp macro="" textlink="">
        <xdr:nvSpPr>
          <xdr:cNvPr id="40" name="步驟" descr="EXTRA CREDIT&#10;When you're done with step 5, try sorting alphabetically by two columns. Here's how: First sort Department alphabetically (that's step 1 on the left). Then click Home &gt; Sort &amp; Filter &gt; Custom Sort. Add a second level for Category. After you click OK, Department will be sorted, and within each department, Category rows will be sorted in alphabetical order as well">
            <a:extLst>
              <a:ext uri="{FF2B5EF4-FFF2-40B4-BE49-F238E27FC236}">
                <a16:creationId xmlns:a16="http://schemas.microsoft.com/office/drawing/2014/main" id="{00000000-0008-0000-0500-000028000000}"/>
              </a:ext>
            </a:extLst>
          </xdr:cNvPr>
          <xdr:cNvSpPr txBox="1"/>
        </xdr:nvSpPr>
        <xdr:spPr>
          <a:xfrm>
            <a:off x="7608105" y="3467099"/>
            <a:ext cx="3583769"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完成步驟 5 之後，</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試著將兩欄按字母順序排序，方法如下：首先，按字母順序排序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[部門]</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(也就是左側的步驟 1)，然後按一下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[常用]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[排序與篩選]</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[自訂排序]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，新增第二層的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類別</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]。按一下 [確定] 之後，系統隨即排序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[部門]</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，並且會按字母順序排序每個部門內的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[類別]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列。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41" name="圖形 263" descr="綵帶">
            <a:extLst>
              <a:ext uri="{FF2B5EF4-FFF2-40B4-BE49-F238E27FC236}">
                <a16:creationId xmlns:a16="http://schemas.microsoft.com/office/drawing/2014/main" id="{00000000-0008-0000-05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248525" y="3521926"/>
            <a:ext cx="433903" cy="382710"/>
          </a:xfrm>
          <a:prstGeom prst="rect">
            <a:avLst/>
          </a:prstGeom>
        </xdr:spPr>
      </xdr:pic>
    </xdr:grpSp>
    <xdr:clientData/>
  </xdr:twoCellAnchor>
  <xdr:twoCellAnchor editAs="oneCell">
    <xdr:from>
      <xdr:col>0</xdr:col>
      <xdr:colOff>333375</xdr:colOff>
      <xdr:row>0</xdr:row>
      <xdr:rowOff>266700</xdr:rowOff>
    </xdr:from>
    <xdr:to>
      <xdr:col>1</xdr:col>
      <xdr:colOff>5016500</xdr:colOff>
      <xdr:row>22</xdr:row>
      <xdr:rowOff>123825</xdr:rowOff>
    </xdr:to>
    <xdr:grpSp>
      <xdr:nvGrpSpPr>
        <xdr:cNvPr id="5" name="輕鬆進行排序與篩選" descr="Sort and filter with ease&#10;Let's say you want the departments in alphabetical order. Click in the Department column, and then click Home &gt; Sort &amp; Filter &gt; Sort A to Z. &#10;Sort December's amounts from largest to smallest. Click any cell in the Dec column, and then click Home &gt; Sort &amp; Filter &gt; Sort Largest to Smallest. &#10;Now you'll filter the data so that only the Bakery rows appear. Press CTRL+A to select all of the cells, and then click Home &gt; Sort &amp; Filter &gt; Filter. &#10;Filter buttons appear on the top row. On the Department cell, click the filter button        and then click to clear the Select All checkbox. Then, click to select Bakery.&#10;Click OK and only the Bakery rows appear. Now clear the filter by clicking the filter button       for Department and then click Clear filter...&#10;Dive down for more detail &#10;Next step">
          <a:extLst>
            <a:ext uri="{FF2B5EF4-FFF2-40B4-BE49-F238E27FC236}">
              <a16:creationId xmlns:a16="http://schemas.microsoft.com/office/drawing/2014/main" id="{00000000-0008-0000-0500-000005000000}"/>
            </a:ext>
          </a:extLst>
        </xdr:cNvPr>
        <xdr:cNvGrpSpPr/>
      </xdr:nvGrpSpPr>
      <xdr:grpSpPr>
        <a:xfrm>
          <a:off x="333375" y="266700"/>
          <a:ext cx="5778500" cy="4619625"/>
          <a:chOff x="333375" y="266700"/>
          <a:chExt cx="5695950" cy="4619625"/>
        </a:xfrm>
      </xdr:grpSpPr>
      <xdr:sp macro="" textlink="">
        <xdr:nvSpPr>
          <xdr:cNvPr id="78" name="矩形 77" descr="背景">
            <a:extLst>
              <a:ext uri="{FF2B5EF4-FFF2-40B4-BE49-F238E27FC236}">
                <a16:creationId xmlns:a16="http://schemas.microsoft.com/office/drawing/2014/main" id="{00000000-0008-0000-0500-00004E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9" name="步驟" descr="輕鬆進行排序與篩選">
            <a:extLst>
              <a:ext uri="{FF2B5EF4-FFF2-40B4-BE49-F238E27FC236}">
                <a16:creationId xmlns:a16="http://schemas.microsoft.com/office/drawing/2014/main" id="{00000000-0008-0000-0500-00004F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4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輕鬆進行排序與篩選</a:t>
            </a:r>
            <a:endParaRPr lang="en-US" sz="24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0" name="直線接點 79" descr="裝飾線條">
            <a:extLst>
              <a:ext uri="{FF2B5EF4-FFF2-40B4-BE49-F238E27FC236}">
                <a16:creationId xmlns:a16="http://schemas.microsoft.com/office/drawing/2014/main" id="{00000000-0008-0000-0500-000050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下一步] 按鈕" descr="向下瀏覽以取得更多詳細資料">
            <a:hlinkClick xmlns:r="http://schemas.openxmlformats.org/officeDocument/2006/relationships" r:id="rId3"/>
            <a:extLst>
              <a:ext uri="{FF2B5EF4-FFF2-40B4-BE49-F238E27FC236}">
                <a16:creationId xmlns:a16="http://schemas.microsoft.com/office/drawing/2014/main" id="{00000000-0008-0000-0500-000051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2" name="直線接點​​ 81" descr="裝飾線條">
            <a:extLst>
              <a:ext uri="{FF2B5EF4-FFF2-40B4-BE49-F238E27FC236}">
                <a16:creationId xmlns:a16="http://schemas.microsoft.com/office/drawing/2014/main" id="{00000000-0008-0000-0500-000052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500-000053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4" name="步驟" descr="假設您想按字母順序排序部門。在 [部門] 欄中按一下，然後按一下 [常用] &gt; [排序與篩選] &gt; [從 A 到 Z 排序]">
            <a:extLst>
              <a:ext uri="{FF2B5EF4-FFF2-40B4-BE49-F238E27FC236}">
                <a16:creationId xmlns:a16="http://schemas.microsoft.com/office/drawing/2014/main" id="{00000000-0008-0000-0500-000054000000}"/>
              </a:ext>
            </a:extLst>
          </xdr:cNvPr>
          <xdr:cNvSpPr txBox="1"/>
        </xdr:nvSpPr>
        <xdr:spPr>
          <a:xfrm>
            <a:off x="972158" y="108097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假設您想按字母順序排序部門。在 [部門] 欄中按一下，然後按一下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[排序與篩選]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[從 A 到 Z 排序]。 </a:t>
            </a:r>
          </a:p>
        </xdr:txBody>
      </xdr:sp>
      <xdr:sp macro="" textlink="">
        <xdr:nvSpPr>
          <xdr:cNvPr id="85" name="橢圓​​ 84" descr="1">
            <a:extLst>
              <a:ext uri="{FF2B5EF4-FFF2-40B4-BE49-F238E27FC236}">
                <a16:creationId xmlns:a16="http://schemas.microsoft.com/office/drawing/2014/main" id="{00000000-0008-0000-0500-000055000000}"/>
              </a:ext>
            </a:extLst>
          </xdr:cNvPr>
          <xdr:cNvSpPr/>
        </xdr:nvSpPr>
        <xdr:spPr>
          <a:xfrm>
            <a:off x="565124" y="10384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將 12 月的金額從最大到最小排序。按一下 [12 月] 欄中的任何儲存格，然後按一下 [常用] &gt; [排序與篩選] &gt; [從最大到最小排序]">
            <a:extLst>
              <a:ext uri="{FF2B5EF4-FFF2-40B4-BE49-F238E27FC236}">
                <a16:creationId xmlns:a16="http://schemas.microsoft.com/office/drawing/2014/main" id="{00000000-0008-0000-0500-000056000000}"/>
              </a:ext>
            </a:extLst>
          </xdr:cNvPr>
          <xdr:cNvSpPr txBox="1"/>
        </xdr:nvSpPr>
        <xdr:spPr>
          <a:xfrm>
            <a:off x="972157" y="1586002"/>
            <a:ext cx="48095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 12 月的金額從最大到最小排序。按一下 [12 月] 欄中的任何儲存格，然後按一下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[排序與篩選]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[從最大到最小排序]。 </a:t>
            </a:r>
          </a:p>
        </xdr:txBody>
      </xdr:sp>
      <xdr:sp macro="" textlink="">
        <xdr:nvSpPr>
          <xdr:cNvPr id="87" name="橢圓​​ 86" descr="2">
            <a:extLst>
              <a:ext uri="{FF2B5EF4-FFF2-40B4-BE49-F238E27FC236}">
                <a16:creationId xmlns:a16="http://schemas.microsoft.com/office/drawing/2014/main" id="{00000000-0008-0000-0500-000057000000}"/>
              </a:ext>
            </a:extLst>
          </xdr:cNvPr>
          <xdr:cNvSpPr/>
        </xdr:nvSpPr>
        <xdr:spPr>
          <a:xfrm>
            <a:off x="565124" y="15435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現在您將篩選資料，讓系統僅顯示 [烘焙] 列。按 CTRL+A 以選取所有儲存格，然後按一下 [常用] &gt; [排序與篩選] &gt; [篩選]&#10;">
            <a:extLst>
              <a:ext uri="{FF2B5EF4-FFF2-40B4-BE49-F238E27FC236}">
                <a16:creationId xmlns:a16="http://schemas.microsoft.com/office/drawing/2014/main" id="{00000000-0008-0000-0500-000058000000}"/>
              </a:ext>
            </a:extLst>
          </xdr:cNvPr>
          <xdr:cNvSpPr txBox="1"/>
        </xdr:nvSpPr>
        <xdr:spPr>
          <a:xfrm>
            <a:off x="972157" y="2083132"/>
            <a:ext cx="4885717"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現在您將篩選資料，讓系統僅顯示 [烘焙] 列。按 CTRL+A 以選取所有</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[常用]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[排序與篩選]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89" name="橢圓​​ 88" descr="3">
            <a:extLst>
              <a:ext uri="{FF2B5EF4-FFF2-40B4-BE49-F238E27FC236}">
                <a16:creationId xmlns:a16="http://schemas.microsoft.com/office/drawing/2014/main" id="{00000000-0008-0000-0500-000059000000}"/>
              </a:ext>
            </a:extLst>
          </xdr:cNvPr>
          <xdr:cNvSpPr/>
        </xdr:nvSpPr>
        <xdr:spPr>
          <a:xfrm>
            <a:off x="565124" y="20406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篩選按鈕隨即出現在頂端列。按一下 [部門] 儲存格上的篩選按鈕，然後按一下以清除 [全選] 核取方塊。然後按一下以選取 [烘焙]">
            <a:extLst>
              <a:ext uri="{FF2B5EF4-FFF2-40B4-BE49-F238E27FC236}">
                <a16:creationId xmlns:a16="http://schemas.microsoft.com/office/drawing/2014/main" id="{00000000-0008-0000-0500-00005A000000}"/>
              </a:ext>
            </a:extLst>
          </xdr:cNvPr>
          <xdr:cNvSpPr txBox="1"/>
        </xdr:nvSpPr>
        <xdr:spPr>
          <a:xfrm>
            <a:off x="972158" y="257920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篩選按鈕隨即出現在頂端列。按一下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儲存格上的篩選按鈕      ，然後按一下以清除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[全選]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核取方塊。然後按一下以選取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[烘焙]。</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1" name="橢圓​​ 90" descr="4">
            <a:extLst>
              <a:ext uri="{FF2B5EF4-FFF2-40B4-BE49-F238E27FC236}">
                <a16:creationId xmlns:a16="http://schemas.microsoft.com/office/drawing/2014/main" id="{00000000-0008-0000-0500-00005B000000}"/>
              </a:ext>
            </a:extLst>
          </xdr:cNvPr>
          <xdr:cNvSpPr/>
        </xdr:nvSpPr>
        <xdr:spPr>
          <a:xfrm>
            <a:off x="565124" y="25367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2" name="步驟" descr="按一下 [確定]，系統便僅顯示 [Bakery] 列。現在，按一下 [部門] 的篩選按鈕來清除篩選，然後按一下 [清除篩選]...">
            <a:extLst>
              <a:ext uri="{FF2B5EF4-FFF2-40B4-BE49-F238E27FC236}">
                <a16:creationId xmlns:a16="http://schemas.microsoft.com/office/drawing/2014/main" id="{00000000-0008-0000-0500-00005C000000}"/>
              </a:ext>
            </a:extLst>
          </xdr:cNvPr>
          <xdr:cNvSpPr txBox="1"/>
        </xdr:nvSpPr>
        <xdr:spPr>
          <a:xfrm>
            <a:off x="972158" y="3239757"/>
            <a:ext cx="4675350"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，系統便只會顯示 [烘焙] 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 [部門] 的篩選按鈕       來清除篩選，然後按一下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[清除</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93" name="橢圓​​ 92" descr="5">
            <a:extLst>
              <a:ext uri="{FF2B5EF4-FFF2-40B4-BE49-F238E27FC236}">
                <a16:creationId xmlns:a16="http://schemas.microsoft.com/office/drawing/2014/main" id="{00000000-0008-0000-0500-00005D000000}"/>
              </a:ext>
            </a:extLst>
          </xdr:cNvPr>
          <xdr:cNvSpPr/>
        </xdr:nvSpPr>
        <xdr:spPr>
          <a:xfrm>
            <a:off x="565124" y="319725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pic>
        <xdr:nvPicPr>
          <xdr:cNvPr id="94" name="圖片 93" descr="篩選按鈕">
            <a:extLst>
              <a:ext uri="{FF2B5EF4-FFF2-40B4-BE49-F238E27FC236}">
                <a16:creationId xmlns:a16="http://schemas.microsoft.com/office/drawing/2014/main" id="{00000000-0008-0000-0500-00005E000000}"/>
              </a:ext>
            </a:extLst>
          </xdr:cNvPr>
          <xdr:cNvPicPr>
            <a:picLocks noChangeAspect="1"/>
          </xdr:cNvPicPr>
        </xdr:nvPicPr>
        <xdr:blipFill rotWithShape="1">
          <a:blip xmlns:r="http://schemas.openxmlformats.org/officeDocument/2006/relationships" r:embed="rId5"/>
          <a:srcRect l="16000" t="17242" r="15000" b="24137"/>
          <a:stretch/>
        </xdr:blipFill>
        <xdr:spPr>
          <a:xfrm>
            <a:off x="4997201" y="2681035"/>
            <a:ext cx="140102" cy="138072"/>
          </a:xfrm>
          <a:prstGeom prst="rect">
            <a:avLst/>
          </a:prstGeom>
        </xdr:spPr>
      </xdr:pic>
      <xdr:pic>
        <xdr:nvPicPr>
          <xdr:cNvPr id="95" name="圖片 94">
            <a:extLst>
              <a:ext uri="{FF2B5EF4-FFF2-40B4-BE49-F238E27FC236}">
                <a16:creationId xmlns:a16="http://schemas.microsoft.com/office/drawing/2014/main" id="{00000000-0008-0000-0500-00005F000000}"/>
              </a:ext>
            </a:extLst>
          </xdr:cNvPr>
          <xdr:cNvPicPr>
            <a:picLocks noChangeAspect="1"/>
          </xdr:cNvPicPr>
        </xdr:nvPicPr>
        <xdr:blipFill>
          <a:blip xmlns:r="http://schemas.openxmlformats.org/officeDocument/2006/relationships" r:embed="rId6"/>
          <a:srcRect/>
          <a:stretch/>
        </xdr:blipFill>
        <xdr:spPr>
          <a:xfrm>
            <a:off x="1256285" y="3566860"/>
            <a:ext cx="136100" cy="138072"/>
          </a:xfrm>
          <a:prstGeom prst="rect">
            <a:avLst/>
          </a:prstGeom>
        </xdr:spPr>
      </xdr:pic>
    </xdr:grpSp>
    <xdr:clientData/>
  </xdr:twoCellAnchor>
  <xdr:twoCellAnchor editAs="oneCell">
    <xdr:from>
      <xdr:col>0</xdr:col>
      <xdr:colOff>390525</xdr:colOff>
      <xdr:row>25</xdr:row>
      <xdr:rowOff>57151</xdr:rowOff>
    </xdr:from>
    <xdr:to>
      <xdr:col>1</xdr:col>
      <xdr:colOff>5073650</xdr:colOff>
      <xdr:row>40</xdr:row>
      <xdr:rowOff>161925</xdr:rowOff>
    </xdr:to>
    <xdr:grpSp>
      <xdr:nvGrpSpPr>
        <xdr:cNvPr id="106" name="按日期或色彩排序" descr="Sort by date, or by color even&#10;There are many ways to sort in Excel. Here are just two more ways to sort, but this time you'll use the right-click menu:&#10;You want the dates in order. So, right-click a date and then click &#10;Sort &gt; Sort Oldest to Newest. The rows get sorted in ascending date order by the Expense date.&#10;Someone filled three cells with yellow. You can sort the rows by that color. Right-click a yellow cell, and then click Sort &gt; Put Selected Cell Color &#10;on Top">
          <a:extLst>
            <a:ext uri="{FF2B5EF4-FFF2-40B4-BE49-F238E27FC236}">
              <a16:creationId xmlns:a16="http://schemas.microsoft.com/office/drawing/2014/main" id="{00000000-0008-0000-0500-00006A000000}"/>
            </a:ext>
          </a:extLst>
        </xdr:cNvPr>
        <xdr:cNvGrpSpPr/>
      </xdr:nvGrpSpPr>
      <xdr:grpSpPr>
        <a:xfrm>
          <a:off x="390525" y="5391151"/>
          <a:ext cx="5778500" cy="2962274"/>
          <a:chOff x="0" y="-133348"/>
          <a:chExt cx="5695950" cy="2962274"/>
        </a:xfrm>
      </xdr:grpSpPr>
      <xdr:sp macro="" textlink="">
        <xdr:nvSpPr>
          <xdr:cNvPr id="107" name="矩形 106" descr="背景">
            <a:extLst>
              <a:ext uri="{FF2B5EF4-FFF2-40B4-BE49-F238E27FC236}">
                <a16:creationId xmlns:a16="http://schemas.microsoft.com/office/drawing/2014/main" id="{00000000-0008-0000-0500-00006B000000}"/>
              </a:ext>
            </a:extLst>
          </xdr:cNvPr>
          <xdr:cNvSpPr/>
        </xdr:nvSpPr>
        <xdr:spPr>
          <a:xfrm>
            <a:off x="0" y="-133348"/>
            <a:ext cx="5695950" cy="29622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08" name="步驟" descr="按日期或色彩排序">
            <a:extLst>
              <a:ext uri="{FF2B5EF4-FFF2-40B4-BE49-F238E27FC236}">
                <a16:creationId xmlns:a16="http://schemas.microsoft.com/office/drawing/2014/main" id="{00000000-0008-0000-0500-00006C000000}"/>
              </a:ext>
            </a:extLst>
          </xdr:cNvPr>
          <xdr:cNvSpPr txBox="1"/>
        </xdr:nvSpPr>
        <xdr:spPr>
          <a:xfrm>
            <a:off x="231748" y="-6227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按日期或色彩排序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9" name="直線接點 108" descr="裝飾線條">
            <a:extLst>
              <a:ext uri="{FF2B5EF4-FFF2-40B4-BE49-F238E27FC236}">
                <a16:creationId xmlns:a16="http://schemas.microsoft.com/office/drawing/2014/main" id="{00000000-0008-0000-0500-00006D000000}"/>
              </a:ext>
            </a:extLst>
          </xdr:cNvPr>
          <xdr:cNvCxnSpPr>
            <a:cxnSpLocks/>
          </xdr:cNvCxnSpPr>
        </xdr:nvCxnSpPr>
        <xdr:spPr>
          <a:xfrm>
            <a:off x="234924" y="445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10" name="直線接點 109" descr="裝飾線條">
            <a:extLst>
              <a:ext uri="{FF2B5EF4-FFF2-40B4-BE49-F238E27FC236}">
                <a16:creationId xmlns:a16="http://schemas.microsoft.com/office/drawing/2014/main" id="{00000000-0008-0000-0500-00006E000000}"/>
              </a:ext>
            </a:extLst>
          </xdr:cNvPr>
          <xdr:cNvCxnSpPr>
            <a:cxnSpLocks/>
          </xdr:cNvCxnSpPr>
        </xdr:nvCxnSpPr>
        <xdr:spPr>
          <a:xfrm>
            <a:off x="234924" y="26003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11" name="步驟" descr="您可在 Excel 中透過多種方式進行排序。以下只提供另外兩種排序方式，但這次將會使用快顯功能表：">
            <a:extLst>
              <a:ext uri="{FF2B5EF4-FFF2-40B4-BE49-F238E27FC236}">
                <a16:creationId xmlns:a16="http://schemas.microsoft.com/office/drawing/2014/main" id="{00000000-0008-0000-0500-00006F000000}"/>
              </a:ext>
            </a:extLst>
          </xdr:cNvPr>
          <xdr:cNvSpPr txBox="1"/>
        </xdr:nvSpPr>
        <xdr:spPr>
          <a:xfrm>
            <a:off x="228600" y="518746"/>
            <a:ext cx="5300938" cy="490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您可在 Excel 中透過多種方式進行排序。以下只提供另外兩種排序方式，但這次將會使用右鍵功能表：</a:t>
            </a:r>
          </a:p>
        </xdr:txBody>
      </xdr:sp>
      <xdr:sp macro="" textlink="">
        <xdr:nvSpPr>
          <xdr:cNvPr id="112" name="步驟" descr="You want the dates in order. So, right-click a date and then click &#10;Sort &gt; Sort Oldest to Newest. The rows get sorted in ascending date order by the Expense date">
            <a:extLst>
              <a:ext uri="{FF2B5EF4-FFF2-40B4-BE49-F238E27FC236}">
                <a16:creationId xmlns:a16="http://schemas.microsoft.com/office/drawing/2014/main" id="{00000000-0008-0000-0500-000070000000}"/>
              </a:ext>
            </a:extLst>
          </xdr:cNvPr>
          <xdr:cNvSpPr txBox="1"/>
        </xdr:nvSpPr>
        <xdr:spPr>
          <a:xfrm>
            <a:off x="638783" y="112599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如果想讓日期按順序排序，請以滑鼠右鍵按一下某個日期，然後按一下</a:t>
            </a:r>
            <a:br>
              <a:rPr lang="en-US"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[從最舊到最新排序]</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。系統隨即以日期的遞增順序排序 [費用日期] 列。</a:t>
            </a:r>
          </a:p>
        </xdr:txBody>
      </xdr:sp>
      <xdr:sp macro="" textlink="">
        <xdr:nvSpPr>
          <xdr:cNvPr id="113" name="橢圓​​ 112" descr="1">
            <a:extLst>
              <a:ext uri="{FF2B5EF4-FFF2-40B4-BE49-F238E27FC236}">
                <a16:creationId xmlns:a16="http://schemas.microsoft.com/office/drawing/2014/main" id="{00000000-0008-0000-0500-000071000000}"/>
              </a:ext>
            </a:extLst>
          </xdr:cNvPr>
          <xdr:cNvSpPr/>
        </xdr:nvSpPr>
        <xdr:spPr>
          <a:xfrm>
            <a:off x="231749" y="108349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14" name="步驟" descr="假設有人將三個儲存格填滿黃色。您可以按該色彩排序列，以滑鼠右鍵按一下黃色儲存格，然後按一下 [排序] &gt; [將選取的儲存格色彩放在最前面]">
            <a:extLst>
              <a:ext uri="{FF2B5EF4-FFF2-40B4-BE49-F238E27FC236}">
                <a16:creationId xmlns:a16="http://schemas.microsoft.com/office/drawing/2014/main" id="{00000000-0008-0000-0500-000072000000}"/>
              </a:ext>
            </a:extLst>
          </xdr:cNvPr>
          <xdr:cNvSpPr txBox="1"/>
        </xdr:nvSpPr>
        <xdr:spPr>
          <a:xfrm>
            <a:off x="638782" y="1788113"/>
            <a:ext cx="4809517" cy="6383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假設有人將三個儲存格填滿黃色。您可以按該色彩排序列，以滑鼠右鍵按一下黃色的儲存格，然後按一下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 &gt; [將選取的儲存格色彩放在最前面]</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115" name="橢圓​​ 114" descr="2">
            <a:extLst>
              <a:ext uri="{FF2B5EF4-FFF2-40B4-BE49-F238E27FC236}">
                <a16:creationId xmlns:a16="http://schemas.microsoft.com/office/drawing/2014/main" id="{00000000-0008-0000-0500-000073000000}"/>
              </a:ext>
            </a:extLst>
          </xdr:cNvPr>
          <xdr:cNvSpPr/>
        </xdr:nvSpPr>
        <xdr:spPr>
          <a:xfrm>
            <a:off x="231749" y="174561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grpSp>
    <xdr:clientData/>
  </xdr:twoCellAnchor>
  <xdr:twoCellAnchor editAs="oneCell">
    <xdr:from>
      <xdr:col>6</xdr:col>
      <xdr:colOff>266700</xdr:colOff>
      <xdr:row>29</xdr:row>
      <xdr:rowOff>114299</xdr:rowOff>
    </xdr:from>
    <xdr:to>
      <xdr:col>8</xdr:col>
      <xdr:colOff>688974</xdr:colOff>
      <xdr:row>38</xdr:row>
      <xdr:rowOff>19050</xdr:rowOff>
    </xdr:to>
    <xdr:grpSp>
      <xdr:nvGrpSpPr>
        <xdr:cNvPr id="8" name="群組 7" descr="IMPORTANT DETAIL&#10;You can't clear a sort order like you can a filter. So if you don't want your sort to stick, undo it by pressing CTRL+Z">
          <a:extLst>
            <a:ext uri="{FF2B5EF4-FFF2-40B4-BE49-F238E27FC236}">
              <a16:creationId xmlns:a16="http://schemas.microsoft.com/office/drawing/2014/main" id="{CE79A11A-3679-4FE1-8870-918EA0DF3948}"/>
            </a:ext>
          </a:extLst>
        </xdr:cNvPr>
        <xdr:cNvGrpSpPr/>
      </xdr:nvGrpSpPr>
      <xdr:grpSpPr>
        <a:xfrm>
          <a:off x="11125200" y="6210299"/>
          <a:ext cx="2327274" cy="1619251"/>
          <a:chOff x="10582275" y="6629399"/>
          <a:chExt cx="2143124" cy="1619251"/>
        </a:xfrm>
      </xdr:grpSpPr>
      <xdr:pic>
        <xdr:nvPicPr>
          <xdr:cNvPr id="117" name="圖形 122" descr="放大鏡">
            <a:extLst>
              <a:ext uri="{FF2B5EF4-FFF2-40B4-BE49-F238E27FC236}">
                <a16:creationId xmlns:a16="http://schemas.microsoft.com/office/drawing/2014/main" id="{00000000-0008-0000-0500-000075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flipH="1">
            <a:off x="10582275" y="6674825"/>
            <a:ext cx="352313" cy="352311"/>
          </a:xfrm>
          <a:prstGeom prst="rect">
            <a:avLst/>
          </a:prstGeom>
        </xdr:spPr>
      </xdr:pic>
      <xdr:sp macro="" textlink="">
        <xdr:nvSpPr>
          <xdr:cNvPr id="118" name="步驟" descr="IMPORTANT DETAIL&#10;You can't clear a sort order like you can a filter. So if you don't want your sort to stick, undo it by pressing CTRL+Z">
            <a:extLst>
              <a:ext uri="{FF2B5EF4-FFF2-40B4-BE49-F238E27FC236}">
                <a16:creationId xmlns:a16="http://schemas.microsoft.com/office/drawing/2014/main" id="{00000000-0008-0000-0500-000076000000}"/>
              </a:ext>
            </a:extLst>
          </xdr:cNvPr>
          <xdr:cNvSpPr txBox="1"/>
        </xdr:nvSpPr>
        <xdr:spPr>
          <a:xfrm>
            <a:off x="10886716" y="6629399"/>
            <a:ext cx="1838683" cy="1619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要訣詳述</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您無法像使用篩選功能一樣清除排序順序。因此，如果您不想持續使用排序，請</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 CTRL+Z 來復原。</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absolute">
    <xdr:from>
      <xdr:col>0</xdr:col>
      <xdr:colOff>390525</xdr:colOff>
      <xdr:row>41</xdr:row>
      <xdr:rowOff>171450</xdr:rowOff>
    </xdr:from>
    <xdr:to>
      <xdr:col>1</xdr:col>
      <xdr:colOff>5073650</xdr:colOff>
      <xdr:row>58</xdr:row>
      <xdr:rowOff>28575</xdr:rowOff>
    </xdr:to>
    <xdr:grpSp>
      <xdr:nvGrpSpPr>
        <xdr:cNvPr id="3" name="篩選資料的其他方式" descr="More ways to filter data&#10;Many people type formulas to find amounts that are above average, or greater than a certain amount. But there's no need to type formulas when special filters are available.&#10;On the Hotel cell, click the filter button and then click &#10;Number Filters &gt; Above Average. Excel calculates the average amount of the Hotel column, and then shows only rows with amounts greater than that average. &#10;Now add a second filter. On the Food cell, click the filter button and then click Number Filters &gt; Greater than..., and then type 25. Click OK. Of the three rows that were filtered for above average, Excel shows two rows with Food amounts greater than 25">
          <a:extLst>
            <a:ext uri="{FF2B5EF4-FFF2-40B4-BE49-F238E27FC236}">
              <a16:creationId xmlns:a16="http://schemas.microsoft.com/office/drawing/2014/main" id="{00000000-0008-0000-0500-000003000000}"/>
            </a:ext>
          </a:extLst>
        </xdr:cNvPr>
        <xdr:cNvGrpSpPr/>
      </xdr:nvGrpSpPr>
      <xdr:grpSpPr>
        <a:xfrm>
          <a:off x="390525" y="8553450"/>
          <a:ext cx="5778500" cy="3095625"/>
          <a:chOff x="390525" y="8972550"/>
          <a:chExt cx="5695950" cy="3171824"/>
        </a:xfrm>
      </xdr:grpSpPr>
      <xdr:sp macro="" textlink="">
        <xdr:nvSpPr>
          <xdr:cNvPr id="133" name="矩形 132" descr="背景">
            <a:extLst>
              <a:ext uri="{FF2B5EF4-FFF2-40B4-BE49-F238E27FC236}">
                <a16:creationId xmlns:a16="http://schemas.microsoft.com/office/drawing/2014/main" id="{00000000-0008-0000-0500-000085000000}"/>
              </a:ext>
            </a:extLst>
          </xdr:cNvPr>
          <xdr:cNvSpPr/>
        </xdr:nvSpPr>
        <xdr:spPr>
          <a:xfrm>
            <a:off x="390525" y="8972550"/>
            <a:ext cx="5695950" cy="317182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4" name="步驟" descr="篩選資料的其他方式">
            <a:extLst>
              <a:ext uri="{FF2B5EF4-FFF2-40B4-BE49-F238E27FC236}">
                <a16:creationId xmlns:a16="http://schemas.microsoft.com/office/drawing/2014/main" id="{00000000-0008-0000-0500-000086000000}"/>
              </a:ext>
            </a:extLst>
          </xdr:cNvPr>
          <xdr:cNvSpPr txBox="1"/>
        </xdr:nvSpPr>
        <xdr:spPr>
          <a:xfrm>
            <a:off x="622273" y="90226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篩選資料的其他方式</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5" name="直線接點 134" descr="裝飾線條">
            <a:extLst>
              <a:ext uri="{FF2B5EF4-FFF2-40B4-BE49-F238E27FC236}">
                <a16:creationId xmlns:a16="http://schemas.microsoft.com/office/drawing/2014/main" id="{00000000-0008-0000-0500-000087000000}"/>
              </a:ext>
            </a:extLst>
          </xdr:cNvPr>
          <xdr:cNvCxnSpPr>
            <a:cxnSpLocks/>
          </xdr:cNvCxnSpPr>
        </xdr:nvCxnSpPr>
        <xdr:spPr>
          <a:xfrm>
            <a:off x="625449" y="95301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6" name="直線接點 135" descr="裝飾線條">
            <a:extLst>
              <a:ext uri="{FF2B5EF4-FFF2-40B4-BE49-F238E27FC236}">
                <a16:creationId xmlns:a16="http://schemas.microsoft.com/office/drawing/2014/main" id="{00000000-0008-0000-0500-000088000000}"/>
              </a:ext>
            </a:extLst>
          </xdr:cNvPr>
          <xdr:cNvCxnSpPr>
            <a:cxnSpLocks/>
          </xdr:cNvCxnSpPr>
        </xdr:nvCxnSpPr>
        <xdr:spPr>
          <a:xfrm>
            <a:off x="625449" y="11915774"/>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7" name="步驟" descr="許多人會輸入公式來尋找高於平均的金額，或尋找大於特定金額的金額。不過，如果使用特殊篩選，就不必輸入公式">
            <a:extLst>
              <a:ext uri="{FF2B5EF4-FFF2-40B4-BE49-F238E27FC236}">
                <a16:creationId xmlns:a16="http://schemas.microsoft.com/office/drawing/2014/main" id="{00000000-0008-0000-0500-000089000000}"/>
              </a:ext>
            </a:extLst>
          </xdr:cNvPr>
          <xdr:cNvSpPr txBox="1"/>
        </xdr:nvSpPr>
        <xdr:spPr>
          <a:xfrm>
            <a:off x="619125" y="9603719"/>
            <a:ext cx="5300938" cy="4911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許多人會輸入公式來尋找高於平均的金額，或尋找大於特定金額的金額。不過，如果使用特殊篩選，就不必輸入公式。</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8" name="步驟" descr="On the Hotel cell, click the filter button and then click &#10;Number Filters &gt; Above Average. Excel calculates the average amount of the Hotel column, and then shows only rows with amounts greater than that average">
            <a:extLst>
              <a:ext uri="{FF2B5EF4-FFF2-40B4-BE49-F238E27FC236}">
                <a16:creationId xmlns:a16="http://schemas.microsoft.com/office/drawing/2014/main" id="{00000000-0008-0000-0500-00008A000000}"/>
              </a:ext>
            </a:extLst>
          </xdr:cNvPr>
          <xdr:cNvSpPr txBox="1"/>
        </xdr:nvSpPr>
        <xdr:spPr>
          <a:xfrm>
            <a:off x="1029308" y="10242828"/>
            <a:ext cx="4809516" cy="681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[住宿]</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儲存格上的篩選按鈕      ，然後按一下</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[數字篩選]</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&gt;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[高於平均]</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隨即計算 [住宿] 欄的平均金額，然後只顯示大於平均的金額列。 </a:t>
            </a:r>
          </a:p>
        </xdr:txBody>
      </xdr:sp>
      <xdr:sp macro="" textlink="">
        <xdr:nvSpPr>
          <xdr:cNvPr id="139" name="橢圓​​ 138" descr="1">
            <a:extLst>
              <a:ext uri="{FF2B5EF4-FFF2-40B4-BE49-F238E27FC236}">
                <a16:creationId xmlns:a16="http://schemas.microsoft.com/office/drawing/2014/main" id="{00000000-0008-0000-0500-00008B000000}"/>
              </a:ext>
            </a:extLst>
          </xdr:cNvPr>
          <xdr:cNvSpPr/>
        </xdr:nvSpPr>
        <xdr:spPr>
          <a:xfrm>
            <a:off x="622274" y="1020033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0" name="步驟" descr="Now add a second filter. On the Food cell, click the filter button      and then click Number Filters &gt; Greater than..., and then type 25. Click OK.&#10;Of the three rows that were filtered for above average, Excel shows two rows with Food amounts greater than 25">
            <a:extLst>
              <a:ext uri="{FF2B5EF4-FFF2-40B4-BE49-F238E27FC236}">
                <a16:creationId xmlns:a16="http://schemas.microsoft.com/office/drawing/2014/main" id="{00000000-0008-0000-0500-00008C000000}"/>
              </a:ext>
            </a:extLst>
          </xdr:cNvPr>
          <xdr:cNvSpPr txBox="1"/>
        </xdr:nvSpPr>
        <xdr:spPr>
          <a:xfrm>
            <a:off x="1029307" y="10956974"/>
            <a:ext cx="4809517" cy="79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現在，新增第二個篩選。按一下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[伙食]</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儲存格上的篩選按鈕      ，然後按一下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[數字篩選]</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[大於...]</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，輸入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25</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。在篩選出高於平均的三個列中，Excel 顯示兩列金額大於 25 的 [伙食]。</a:t>
            </a:r>
          </a:p>
        </xdr:txBody>
      </xdr:sp>
      <xdr:sp macro="" textlink="">
        <xdr:nvSpPr>
          <xdr:cNvPr id="141" name="橢圓​​ 140" descr="2">
            <a:extLst>
              <a:ext uri="{FF2B5EF4-FFF2-40B4-BE49-F238E27FC236}">
                <a16:creationId xmlns:a16="http://schemas.microsoft.com/office/drawing/2014/main" id="{00000000-0008-0000-0500-00008D000000}"/>
              </a:ext>
            </a:extLst>
          </xdr:cNvPr>
          <xdr:cNvSpPr/>
        </xdr:nvSpPr>
        <xdr:spPr>
          <a:xfrm>
            <a:off x="622274" y="1091447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pic>
        <xdr:nvPicPr>
          <xdr:cNvPr id="131" name="圖片 130" descr="篩選按鈕">
            <a:extLst>
              <a:ext uri="{FF2B5EF4-FFF2-40B4-BE49-F238E27FC236}">
                <a16:creationId xmlns:a16="http://schemas.microsoft.com/office/drawing/2014/main" id="{00000000-0008-0000-0500-000083000000}"/>
              </a:ext>
            </a:extLst>
          </xdr:cNvPr>
          <xdr:cNvPicPr>
            <a:picLocks noChangeAspect="1"/>
          </xdr:cNvPicPr>
        </xdr:nvPicPr>
        <xdr:blipFill rotWithShape="1">
          <a:blip xmlns:r="http://schemas.openxmlformats.org/officeDocument/2006/relationships" r:embed="rId5"/>
          <a:srcRect l="16000" t="17242" r="15000" b="24137"/>
          <a:stretch/>
        </xdr:blipFill>
        <xdr:spPr>
          <a:xfrm>
            <a:off x="3239344" y="10317271"/>
            <a:ext cx="140102" cy="138072"/>
          </a:xfrm>
          <a:prstGeom prst="rect">
            <a:avLst/>
          </a:prstGeom>
        </xdr:spPr>
      </xdr:pic>
      <xdr:pic>
        <xdr:nvPicPr>
          <xdr:cNvPr id="132" name="圖片 131" descr="篩選按鈕">
            <a:extLst>
              <a:ext uri="{FF2B5EF4-FFF2-40B4-BE49-F238E27FC236}">
                <a16:creationId xmlns:a16="http://schemas.microsoft.com/office/drawing/2014/main" id="{00000000-0008-0000-0500-000084000000}"/>
              </a:ext>
            </a:extLst>
          </xdr:cNvPr>
          <xdr:cNvPicPr>
            <a:picLocks noChangeAspect="1"/>
          </xdr:cNvPicPr>
        </xdr:nvPicPr>
        <xdr:blipFill rotWithShape="1">
          <a:blip xmlns:r="http://schemas.openxmlformats.org/officeDocument/2006/relationships" r:embed="rId5"/>
          <a:srcRect l="16000" t="17242" r="15000" b="24137"/>
          <a:stretch/>
        </xdr:blipFill>
        <xdr:spPr>
          <a:xfrm>
            <a:off x="4785946" y="11059349"/>
            <a:ext cx="140102" cy="138072"/>
          </a:xfrm>
          <a:prstGeom prst="rect">
            <a:avLst/>
          </a:prstGeom>
        </xdr:spPr>
      </xdr:pic>
    </xdr:grpSp>
    <xdr:clientData/>
  </xdr:twoCellAnchor>
  <xdr:twoCellAnchor editAs="absolute">
    <xdr:from>
      <xdr:col>0</xdr:col>
      <xdr:colOff>389826</xdr:colOff>
      <xdr:row>58</xdr:row>
      <xdr:rowOff>161925</xdr:rowOff>
    </xdr:from>
    <xdr:to>
      <xdr:col>1</xdr:col>
      <xdr:colOff>5072951</xdr:colOff>
      <xdr:row>74</xdr:row>
      <xdr:rowOff>71399</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500-000002000000}"/>
            </a:ext>
          </a:extLst>
        </xdr:cNvPr>
        <xdr:cNvGrpSpPr/>
      </xdr:nvGrpSpPr>
      <xdr:grpSpPr>
        <a:xfrm>
          <a:off x="389826" y="11782425"/>
          <a:ext cx="5778500" cy="2957474"/>
          <a:chOff x="389826" y="12352299"/>
          <a:chExt cx="5695950" cy="2806700"/>
        </a:xfrm>
      </xdr:grpSpPr>
      <xdr:sp macro="" textlink="">
        <xdr:nvSpPr>
          <xdr:cNvPr id="143" name="矩形 142" descr="背景">
            <a:extLst>
              <a:ext uri="{FF2B5EF4-FFF2-40B4-BE49-F238E27FC236}">
                <a16:creationId xmlns:a16="http://schemas.microsoft.com/office/drawing/2014/main" id="{00000000-0008-0000-0500-00008F000000}"/>
              </a:ext>
            </a:extLst>
          </xdr:cNvPr>
          <xdr:cNvSpPr/>
        </xdr:nvSpPr>
        <xdr:spPr>
          <a:xfrm>
            <a:off x="389826" y="12352299"/>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4" name="步驟" descr="Web 上的更多資訊">
            <a:extLst>
              <a:ext uri="{FF2B5EF4-FFF2-40B4-BE49-F238E27FC236}">
                <a16:creationId xmlns:a16="http://schemas.microsoft.com/office/drawing/2014/main" id="{00000000-0008-0000-0500-000090000000}"/>
              </a:ext>
            </a:extLst>
          </xdr:cNvPr>
          <xdr:cNvSpPr txBox="1"/>
        </xdr:nvSpPr>
        <xdr:spPr>
          <a:xfrm>
            <a:off x="621574" y="12470996"/>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5" name="直線接點 144" descr="裝飾線條">
            <a:extLst>
              <a:ext uri="{FF2B5EF4-FFF2-40B4-BE49-F238E27FC236}">
                <a16:creationId xmlns:a16="http://schemas.microsoft.com/office/drawing/2014/main" id="{00000000-0008-0000-0500-000091000000}"/>
              </a:ext>
            </a:extLst>
          </xdr:cNvPr>
          <xdr:cNvCxnSpPr>
            <a:cxnSpLocks/>
          </xdr:cNvCxnSpPr>
        </xdr:nvCxnSpPr>
        <xdr:spPr>
          <a:xfrm>
            <a:off x="624750" y="12978409"/>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6" name="[下一步] 按鈕" descr="回到頁首，附有移至儲存格 A1 的超連結">
            <a:hlinkClick xmlns:r="http://schemas.openxmlformats.org/officeDocument/2006/relationships" r:id="rId9" tooltip="選取以回到此工作表中的儲存格 A1"/>
            <a:extLst>
              <a:ext uri="{FF2B5EF4-FFF2-40B4-BE49-F238E27FC236}">
                <a16:creationId xmlns:a16="http://schemas.microsoft.com/office/drawing/2014/main" id="{00000000-0008-0000-0500-000092000000}"/>
              </a:ext>
            </a:extLst>
          </xdr:cNvPr>
          <xdr:cNvSpPr/>
        </xdr:nvSpPr>
        <xdr:spPr>
          <a:xfrm>
            <a:off x="624750" y="14382711"/>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7" name="直線接點 146" descr="裝飾線條">
            <a:extLst>
              <a:ext uri="{FF2B5EF4-FFF2-40B4-BE49-F238E27FC236}">
                <a16:creationId xmlns:a16="http://schemas.microsoft.com/office/drawing/2014/main" id="{00000000-0008-0000-0500-000093000000}"/>
              </a:ext>
            </a:extLst>
          </xdr:cNvPr>
          <xdr:cNvCxnSpPr>
            <a:cxnSpLocks/>
          </xdr:cNvCxnSpPr>
        </xdr:nvCxnSpPr>
        <xdr:spPr>
          <a:xfrm>
            <a:off x="624750" y="1414299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500-000094000000}"/>
              </a:ext>
            </a:extLst>
          </xdr:cNvPr>
          <xdr:cNvSpPr/>
        </xdr:nvSpPr>
        <xdr:spPr>
          <a:xfrm>
            <a:off x="4683696" y="14573212"/>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9" name="步驟" descr="排序某個範圍或表格中的資料，附有移至 Web 的超連結">
            <a:hlinkClick xmlns:r="http://schemas.openxmlformats.org/officeDocument/2006/relationships" r:id="rId10" tooltip="選取以從 Web 了解如何排序某個範圍或表格中的資料"/>
            <a:extLst>
              <a:ext uri="{FF2B5EF4-FFF2-40B4-BE49-F238E27FC236}">
                <a16:creationId xmlns:a16="http://schemas.microsoft.com/office/drawing/2014/main" id="{00000000-0008-0000-0500-000095000000}"/>
              </a:ext>
            </a:extLst>
          </xdr:cNvPr>
          <xdr:cNvSpPr txBox="1"/>
        </xdr:nvSpPr>
        <xdr:spPr>
          <a:xfrm>
            <a:off x="1028609" y="13147147"/>
            <a:ext cx="2143216"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排序某個範圍或表格中的資料</a:t>
            </a:r>
          </a:p>
        </xdr:txBody>
      </xdr:sp>
      <xdr:pic>
        <xdr:nvPicPr>
          <xdr:cNvPr id="150"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500-000096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1329" y="13051870"/>
            <a:ext cx="454554" cy="448472"/>
          </a:xfrm>
          <a:prstGeom prst="rect">
            <a:avLst/>
          </a:prstGeom>
        </xdr:spPr>
      </xdr:pic>
      <xdr:sp macro="" textlink="">
        <xdr:nvSpPr>
          <xdr:cNvPr id="151" name="步驟" descr="篩選某個範圍或表格中的資料，附有移至 Web 的超連結">
            <a:hlinkClick xmlns:r="http://schemas.openxmlformats.org/officeDocument/2006/relationships" r:id="rId13" tooltip="選取以從 Web 了解如何篩選某個範圍或表格中的資料"/>
            <a:extLst>
              <a:ext uri="{FF2B5EF4-FFF2-40B4-BE49-F238E27FC236}">
                <a16:creationId xmlns:a16="http://schemas.microsoft.com/office/drawing/2014/main" id="{00000000-0008-0000-0500-000097000000}"/>
              </a:ext>
            </a:extLst>
          </xdr:cNvPr>
          <xdr:cNvSpPr txBox="1"/>
        </xdr:nvSpPr>
        <xdr:spPr>
          <a:xfrm>
            <a:off x="1028609" y="13611754"/>
            <a:ext cx="22744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篩選某個範圍或表格中的資料</a:t>
            </a:r>
          </a:p>
        </xdr:txBody>
      </xdr:sp>
      <xdr:pic>
        <xdr:nvPicPr>
          <xdr:cNvPr id="152" name="圖形 22" descr="箭號">
            <a:hlinkClick xmlns:r="http://schemas.openxmlformats.org/officeDocument/2006/relationships" r:id="rId13" tooltip="選取以從網路深入了解"/>
            <a:extLst>
              <a:ext uri="{FF2B5EF4-FFF2-40B4-BE49-F238E27FC236}">
                <a16:creationId xmlns:a16="http://schemas.microsoft.com/office/drawing/2014/main" id="{00000000-0008-0000-05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1329" y="13509724"/>
            <a:ext cx="454554" cy="44847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5016500</xdr:colOff>
      <xdr:row>22</xdr:row>
      <xdr:rowOff>123825</xdr:rowOff>
    </xdr:to>
    <xdr:grpSp>
      <xdr:nvGrpSpPr>
        <xdr:cNvPr id="8" name="表格讓一切更簡單" descr="Tables make things a lot easier&#10;A table gives you special features and conveniences. Here’s how to create one:&#10;Click inside the data to the right, and then click Insert &gt; Table &gt; OK.&#10;Now you have a table, which is a collection of cells that has special features. For starters: A table gives you banded rows for easier reading.&#10;You can also create new rows easily. In the empty cell under Meat, type some text and then press Enter. A new row for the table appears.&#10;You can also create columns easily: In the lower-right corner of the table, click the resize handle    and drag it to the right 2 columns.&#10;Notice how the two columns are created, formatted, and the text Jan and Feb are filled for you.&#10;Dive down for more detail &#10;Next step">
          <a:extLst>
            <a:ext uri="{FF2B5EF4-FFF2-40B4-BE49-F238E27FC236}">
              <a16:creationId xmlns:a16="http://schemas.microsoft.com/office/drawing/2014/main" id="{00000000-0008-0000-0600-000008000000}"/>
            </a:ext>
          </a:extLst>
        </xdr:cNvPr>
        <xdr:cNvGrpSpPr/>
      </xdr:nvGrpSpPr>
      <xdr:grpSpPr>
        <a:xfrm>
          <a:off x="333375" y="266700"/>
          <a:ext cx="5778500" cy="4619625"/>
          <a:chOff x="333375" y="266700"/>
          <a:chExt cx="5695950" cy="4619625"/>
        </a:xfrm>
      </xdr:grpSpPr>
      <xdr:sp macro="" textlink="">
        <xdr:nvSpPr>
          <xdr:cNvPr id="95" name="矩形​​ 94" descr="背景">
            <a:extLst>
              <a:ext uri="{FF2B5EF4-FFF2-40B4-BE49-F238E27FC236}">
                <a16:creationId xmlns:a16="http://schemas.microsoft.com/office/drawing/2014/main" id="{00000000-0008-0000-0600-00005F000000}"/>
              </a:ext>
            </a:extLst>
          </xdr:cNvPr>
          <xdr:cNvSpPr/>
        </xdr:nvSpPr>
        <xdr:spPr>
          <a:xfrm>
            <a:off x="333375" y="2667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6" name="步驟" descr="表格讓一切更簡單">
            <a:extLst>
              <a:ext uri="{FF2B5EF4-FFF2-40B4-BE49-F238E27FC236}">
                <a16:creationId xmlns:a16="http://schemas.microsoft.com/office/drawing/2014/main" id="{00000000-0008-0000-0600-000060000000}"/>
              </a:ext>
            </a:extLst>
          </xdr:cNvPr>
          <xdr:cNvSpPr txBox="1"/>
        </xdr:nvSpPr>
        <xdr:spPr>
          <a:xfrm>
            <a:off x="565123" y="3853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表格讓工作更簡單</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7" name="直線接點 96" descr="裝飾線條">
            <a:extLst>
              <a:ext uri="{FF2B5EF4-FFF2-40B4-BE49-F238E27FC236}">
                <a16:creationId xmlns:a16="http://schemas.microsoft.com/office/drawing/2014/main" id="{00000000-0008-0000-0600-000061000000}"/>
              </a:ext>
            </a:extLst>
          </xdr:cNvPr>
          <xdr:cNvCxnSpPr>
            <a:cxnSpLocks/>
          </xdr:cNvCxnSpPr>
        </xdr:nvCxnSpPr>
        <xdr:spPr>
          <a:xfrm>
            <a:off x="568299" y="8928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8"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600-000062000000}"/>
              </a:ext>
            </a:extLst>
          </xdr:cNvPr>
          <xdr:cNvSpPr/>
        </xdr:nvSpPr>
        <xdr:spPr>
          <a:xfrm>
            <a:off x="568299" y="41092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99" name="直線接點 98" descr="裝飾線條">
            <a:extLst>
              <a:ext uri="{FF2B5EF4-FFF2-40B4-BE49-F238E27FC236}">
                <a16:creationId xmlns:a16="http://schemas.microsoft.com/office/drawing/2014/main" id="{00000000-0008-0000-0600-000063000000}"/>
              </a:ext>
            </a:extLst>
          </xdr:cNvPr>
          <xdr:cNvCxnSpPr>
            <a:cxnSpLocks/>
          </xdr:cNvCxnSpPr>
        </xdr:nvCxnSpPr>
        <xdr:spPr>
          <a:xfrm>
            <a:off x="568299" y="38481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0"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600-000064000000}"/>
              </a:ext>
            </a:extLst>
          </xdr:cNvPr>
          <xdr:cNvSpPr/>
        </xdr:nvSpPr>
        <xdr:spPr>
          <a:xfrm>
            <a:off x="4627245" y="41092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1" name="步驟" descr="表格可提供各種便利的特殊功能。以下說明如何建立表格：">
            <a:extLst>
              <a:ext uri="{FF2B5EF4-FFF2-40B4-BE49-F238E27FC236}">
                <a16:creationId xmlns:a16="http://schemas.microsoft.com/office/drawing/2014/main" id="{00000000-0008-0000-0600-000065000000}"/>
              </a:ext>
            </a:extLst>
          </xdr:cNvPr>
          <xdr:cNvSpPr txBox="1"/>
        </xdr:nvSpPr>
        <xdr:spPr>
          <a:xfrm>
            <a:off x="561975" y="966421"/>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表格可提供各種便利的特殊功能。以下說明如何建立表格：</a:t>
            </a:r>
          </a:p>
        </xdr:txBody>
      </xdr:sp>
      <xdr:sp macro="" textlink="">
        <xdr:nvSpPr>
          <xdr:cNvPr id="102" name="步驟" descr="在右側資料內按一下，然後按 [插入] &gt; [表格] &gt; [確定]">
            <a:extLst>
              <a:ext uri="{FF2B5EF4-FFF2-40B4-BE49-F238E27FC236}">
                <a16:creationId xmlns:a16="http://schemas.microsoft.com/office/drawing/2014/main" id="{00000000-0008-0000-0600-000066000000}"/>
              </a:ext>
            </a:extLst>
          </xdr:cNvPr>
          <xdr:cNvSpPr txBox="1"/>
        </xdr:nvSpPr>
        <xdr:spPr>
          <a:xfrm>
            <a:off x="972158" y="1312534"/>
            <a:ext cx="4809516" cy="41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在右側資料內按一下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3" name="橢圓​​ 102" descr="1">
            <a:extLst>
              <a:ext uri="{FF2B5EF4-FFF2-40B4-BE49-F238E27FC236}">
                <a16:creationId xmlns:a16="http://schemas.microsoft.com/office/drawing/2014/main" id="{00000000-0008-0000-0600-000067000000}"/>
              </a:ext>
            </a:extLst>
          </xdr:cNvPr>
          <xdr:cNvSpPr/>
        </xdr:nvSpPr>
        <xdr:spPr>
          <a:xfrm>
            <a:off x="565124" y="12700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4" name="步驟" descr="現在，您已建立表格，這是由一組具備特殊功能的儲存格所組成。簡單來說：表格可提供容易閱讀的帶狀列">
            <a:extLst>
              <a:ext uri="{FF2B5EF4-FFF2-40B4-BE49-F238E27FC236}">
                <a16:creationId xmlns:a16="http://schemas.microsoft.com/office/drawing/2014/main" id="{00000000-0008-0000-0600-000068000000}"/>
              </a:ext>
            </a:extLst>
          </xdr:cNvPr>
          <xdr:cNvSpPr txBox="1"/>
        </xdr:nvSpPr>
        <xdr:spPr>
          <a:xfrm>
            <a:off x="972157" y="1694680"/>
            <a:ext cx="4809517" cy="543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現在，您已建立表格，這是由一組具備特殊功能的儲存格所組成。簡單來說：表格可提供容易閱讀的帶狀列。</a:t>
            </a:r>
          </a:p>
        </xdr:txBody>
      </xdr:sp>
      <xdr:sp macro="" textlink="">
        <xdr:nvSpPr>
          <xdr:cNvPr id="105" name="橢圓​​ 104" descr="2">
            <a:extLst>
              <a:ext uri="{FF2B5EF4-FFF2-40B4-BE49-F238E27FC236}">
                <a16:creationId xmlns:a16="http://schemas.microsoft.com/office/drawing/2014/main" id="{00000000-0008-0000-0600-000069000000}"/>
              </a:ext>
            </a:extLst>
          </xdr:cNvPr>
          <xdr:cNvSpPr/>
        </xdr:nvSpPr>
        <xdr:spPr>
          <a:xfrm>
            <a:off x="565124" y="175695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6" name="步驟" descr="您也可以輕鬆建立新的列。在 [肉品] 底下的空白儲存格中，輸入一些文字，然後按 Enter。表格的新列隨即顯示">
            <a:extLst>
              <a:ext uri="{FF2B5EF4-FFF2-40B4-BE49-F238E27FC236}">
                <a16:creationId xmlns:a16="http://schemas.microsoft.com/office/drawing/2014/main" id="{00000000-0008-0000-0600-00006A000000}"/>
              </a:ext>
            </a:extLst>
          </xdr:cNvPr>
          <xdr:cNvSpPr txBox="1"/>
        </xdr:nvSpPr>
        <xdr:spPr>
          <a:xfrm>
            <a:off x="972158" y="2255946"/>
            <a:ext cx="4809516" cy="47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您也可以輕鬆建立新的列。在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[肉品]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底下的空白儲存格中，輸入一些文字</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Enter。</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表格的新列隨即顯示。</a:t>
            </a:r>
          </a:p>
        </xdr:txBody>
      </xdr:sp>
      <xdr:sp macro="" textlink="">
        <xdr:nvSpPr>
          <xdr:cNvPr id="107" name="橢圓​​ 106" descr="3">
            <a:extLst>
              <a:ext uri="{FF2B5EF4-FFF2-40B4-BE49-F238E27FC236}">
                <a16:creationId xmlns:a16="http://schemas.microsoft.com/office/drawing/2014/main" id="{00000000-0008-0000-0600-00006B000000}"/>
              </a:ext>
            </a:extLst>
          </xdr:cNvPr>
          <xdr:cNvSpPr/>
        </xdr:nvSpPr>
        <xdr:spPr>
          <a:xfrm>
            <a:off x="565124" y="226107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08" name="步驟" descr="You can also create columns easily: In the lower-right corner of the table, click the resize handle    and drag it to the right 2 columns">
            <a:extLst>
              <a:ext uri="{FF2B5EF4-FFF2-40B4-BE49-F238E27FC236}">
                <a16:creationId xmlns:a16="http://schemas.microsoft.com/office/drawing/2014/main" id="{00000000-0008-0000-0600-00006C000000}"/>
              </a:ext>
            </a:extLst>
          </xdr:cNvPr>
          <xdr:cNvSpPr txBox="1"/>
        </xdr:nvSpPr>
        <xdr:spPr>
          <a:xfrm>
            <a:off x="972158" y="2792794"/>
            <a:ext cx="4809516" cy="474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您也可以輕鬆建立欄</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：在表格的</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右下角按一下調整大小控點</a:t>
            </a:r>
            <a:r>
              <a:rPr lang="en-US" alt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，然後將控點向右拖曳 2 個欄。</a:t>
            </a:r>
          </a:p>
        </xdr:txBody>
      </xdr:sp>
      <xdr:sp macro="" textlink="">
        <xdr:nvSpPr>
          <xdr:cNvPr id="109" name="橢圓​​ 108" descr="4">
            <a:extLst>
              <a:ext uri="{FF2B5EF4-FFF2-40B4-BE49-F238E27FC236}">
                <a16:creationId xmlns:a16="http://schemas.microsoft.com/office/drawing/2014/main" id="{00000000-0008-0000-0600-00006D000000}"/>
              </a:ext>
            </a:extLst>
          </xdr:cNvPr>
          <xdr:cNvSpPr/>
        </xdr:nvSpPr>
        <xdr:spPr>
          <a:xfrm>
            <a:off x="565124" y="275029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0" name="步驟" descr="請注意兩欄的建立和格式設定方式，且系統會為您填入 [1 月] 和 [2 月] 文字">
            <a:extLst>
              <a:ext uri="{FF2B5EF4-FFF2-40B4-BE49-F238E27FC236}">
                <a16:creationId xmlns:a16="http://schemas.microsoft.com/office/drawing/2014/main" id="{00000000-0008-0000-0600-00006E000000}"/>
              </a:ext>
            </a:extLst>
          </xdr:cNvPr>
          <xdr:cNvSpPr txBox="1"/>
        </xdr:nvSpPr>
        <xdr:spPr>
          <a:xfrm>
            <a:off x="972158" y="3329232"/>
            <a:ext cx="4809516" cy="490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請注意兩欄的建立及格式設定方式，且系統會為您填入 [1 月] 和 [2 月] 文字。</a:t>
            </a:r>
          </a:p>
        </xdr:txBody>
      </xdr:sp>
      <xdr:sp macro="" textlink="">
        <xdr:nvSpPr>
          <xdr:cNvPr id="111" name="橢圓​​ 110" descr="5">
            <a:extLst>
              <a:ext uri="{FF2B5EF4-FFF2-40B4-BE49-F238E27FC236}">
                <a16:creationId xmlns:a16="http://schemas.microsoft.com/office/drawing/2014/main" id="{00000000-0008-0000-0600-00006F000000}"/>
              </a:ext>
            </a:extLst>
          </xdr:cNvPr>
          <xdr:cNvSpPr/>
        </xdr:nvSpPr>
        <xdr:spPr>
          <a:xfrm>
            <a:off x="565124" y="328673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pic>
        <xdr:nvPicPr>
          <xdr:cNvPr id="113" name="圖片 112" descr="調整大小控點">
            <a:extLst>
              <a:ext uri="{FF2B5EF4-FFF2-40B4-BE49-F238E27FC236}">
                <a16:creationId xmlns:a16="http://schemas.microsoft.com/office/drawing/2014/main" id="{00000000-0008-0000-0600-000071000000}"/>
              </a:ext>
            </a:extLst>
          </xdr:cNvPr>
          <xdr:cNvPicPr>
            <a:picLocks noChangeAspect="1"/>
          </xdr:cNvPicPr>
        </xdr:nvPicPr>
        <xdr:blipFill rotWithShape="1">
          <a:blip xmlns:r="http://schemas.openxmlformats.org/officeDocument/2006/relationships" r:embed="rId3"/>
          <a:srcRect l="-9548" t="47707" r="-5"/>
          <a:stretch/>
        </xdr:blipFill>
        <xdr:spPr>
          <a:xfrm>
            <a:off x="4698817" y="2925708"/>
            <a:ext cx="73001" cy="79349"/>
          </a:xfrm>
          <a:prstGeom prst="rect">
            <a:avLst/>
          </a:prstGeom>
        </xdr:spPr>
      </xdr:pic>
    </xdr:grpSp>
    <xdr:clientData/>
  </xdr:twoCellAnchor>
  <xdr:twoCellAnchor editAs="oneCell">
    <xdr:from>
      <xdr:col>0</xdr:col>
      <xdr:colOff>390525</xdr:colOff>
      <xdr:row>26</xdr:row>
      <xdr:rowOff>0</xdr:rowOff>
    </xdr:from>
    <xdr:to>
      <xdr:col>1</xdr:col>
      <xdr:colOff>5073650</xdr:colOff>
      <xdr:row>45</xdr:row>
      <xdr:rowOff>12699</xdr:rowOff>
    </xdr:to>
    <xdr:grpSp>
      <xdr:nvGrpSpPr>
        <xdr:cNvPr id="7" name="表格中的計算結果欄" descr="Calculated columns in tables&#10;One example of a convenience that tables give you: calculated columns. You type a formula once, and it gets automatically filled down for you. Here’s how it works:&#10;Select the cell under Total.&#10;Press Alt and Equals key.&#10;Press Enter key.&#10;The SUM formula gets filled down for you so that you don’t have to do it yourself">
          <a:extLst>
            <a:ext uri="{FF2B5EF4-FFF2-40B4-BE49-F238E27FC236}">
              <a16:creationId xmlns:a16="http://schemas.microsoft.com/office/drawing/2014/main" id="{00000000-0008-0000-0600-000007000000}"/>
            </a:ext>
          </a:extLst>
        </xdr:cNvPr>
        <xdr:cNvGrpSpPr/>
      </xdr:nvGrpSpPr>
      <xdr:grpSpPr>
        <a:xfrm>
          <a:off x="390525" y="5524500"/>
          <a:ext cx="5778500" cy="3632199"/>
          <a:chOff x="390525" y="5943600"/>
          <a:chExt cx="5695950" cy="3632199"/>
        </a:xfrm>
      </xdr:grpSpPr>
      <xdr:sp macro="" textlink="">
        <xdr:nvSpPr>
          <xdr:cNvPr id="119" name="矩形 118" descr="背景">
            <a:extLst>
              <a:ext uri="{FF2B5EF4-FFF2-40B4-BE49-F238E27FC236}">
                <a16:creationId xmlns:a16="http://schemas.microsoft.com/office/drawing/2014/main" id="{00000000-0008-0000-0600-000077000000}"/>
              </a:ext>
            </a:extLst>
          </xdr:cNvPr>
          <xdr:cNvSpPr/>
        </xdr:nvSpPr>
        <xdr:spPr>
          <a:xfrm>
            <a:off x="390525" y="5943600"/>
            <a:ext cx="5695950" cy="36321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0" name="步驟" descr="表格中的計算結果欄">
            <a:extLst>
              <a:ext uri="{FF2B5EF4-FFF2-40B4-BE49-F238E27FC236}">
                <a16:creationId xmlns:a16="http://schemas.microsoft.com/office/drawing/2014/main" id="{00000000-0008-0000-0600-000078000000}"/>
              </a:ext>
            </a:extLst>
          </xdr:cNvPr>
          <xdr:cNvSpPr txBox="1"/>
        </xdr:nvSpPr>
        <xdr:spPr>
          <a:xfrm>
            <a:off x="622273" y="6069511"/>
            <a:ext cx="5216551" cy="482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表格中的計算結果欄</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1" name="直線接點 120" descr="裝飾線條">
            <a:extLst>
              <a:ext uri="{FF2B5EF4-FFF2-40B4-BE49-F238E27FC236}">
                <a16:creationId xmlns:a16="http://schemas.microsoft.com/office/drawing/2014/main" id="{00000000-0008-0000-0600-000079000000}"/>
              </a:ext>
            </a:extLst>
          </xdr:cNvPr>
          <xdr:cNvCxnSpPr>
            <a:cxnSpLocks/>
          </xdr:cNvCxnSpPr>
        </xdr:nvCxnSpPr>
        <xdr:spPr>
          <a:xfrm>
            <a:off x="625449" y="656777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2" name="直線接點 121" descr="裝飾線條">
            <a:extLst>
              <a:ext uri="{FF2B5EF4-FFF2-40B4-BE49-F238E27FC236}">
                <a16:creationId xmlns:a16="http://schemas.microsoft.com/office/drawing/2014/main" id="{00000000-0008-0000-0600-00007A000000}"/>
              </a:ext>
            </a:extLst>
          </xdr:cNvPr>
          <xdr:cNvCxnSpPr>
            <a:cxnSpLocks/>
          </xdr:cNvCxnSpPr>
        </xdr:nvCxnSpPr>
        <xdr:spPr>
          <a:xfrm>
            <a:off x="625449" y="935672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3" name="步驟" descr="表格提供的其中一項便利功能範例是：計算結果欄。只要輸入公式一次，系統就會為您自動向下填滿。運作方式：">
            <a:extLst>
              <a:ext uri="{FF2B5EF4-FFF2-40B4-BE49-F238E27FC236}">
                <a16:creationId xmlns:a16="http://schemas.microsoft.com/office/drawing/2014/main" id="{00000000-0008-0000-0600-00007B000000}"/>
              </a:ext>
            </a:extLst>
          </xdr:cNvPr>
          <xdr:cNvSpPr txBox="1"/>
        </xdr:nvSpPr>
        <xdr:spPr>
          <a:xfrm>
            <a:off x="619125" y="6640060"/>
            <a:ext cx="5300938" cy="558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表格提供的其中一項便利功能</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範例是：</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計</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算結果欄</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。只要輸入公式一次，系統就會為您自動向下填滿。運作方式如下：</a:t>
            </a:r>
          </a:p>
        </xdr:txBody>
      </xdr:sp>
      <xdr:sp macro="" textlink="">
        <xdr:nvSpPr>
          <xdr:cNvPr id="124" name="步驟" descr="選取 [合計] 底下的儲存格">
            <a:extLst>
              <a:ext uri="{FF2B5EF4-FFF2-40B4-BE49-F238E27FC236}">
                <a16:creationId xmlns:a16="http://schemas.microsoft.com/office/drawing/2014/main" id="{00000000-0008-0000-0600-00007C000000}"/>
              </a:ext>
            </a:extLst>
          </xdr:cNvPr>
          <xdr:cNvSpPr txBox="1"/>
        </xdr:nvSpPr>
        <xdr:spPr>
          <a:xfrm>
            <a:off x="1029308" y="7283132"/>
            <a:ext cx="4809516" cy="39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選取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底下的儲存格。</a:t>
            </a:r>
          </a:p>
        </xdr:txBody>
      </xdr:sp>
      <xdr:sp macro="" textlink="">
        <xdr:nvSpPr>
          <xdr:cNvPr id="125" name="橢圓​​ 124" descr="1">
            <a:extLst>
              <a:ext uri="{FF2B5EF4-FFF2-40B4-BE49-F238E27FC236}">
                <a16:creationId xmlns:a16="http://schemas.microsoft.com/office/drawing/2014/main" id="{00000000-0008-0000-0600-00007D000000}"/>
              </a:ext>
            </a:extLst>
          </xdr:cNvPr>
          <xdr:cNvSpPr/>
        </xdr:nvSpPr>
        <xdr:spPr>
          <a:xfrm>
            <a:off x="622274" y="7241400"/>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6" name="步驟" descr="按 Enter 鍵">
            <a:extLst>
              <a:ext uri="{FF2B5EF4-FFF2-40B4-BE49-F238E27FC236}">
                <a16:creationId xmlns:a16="http://schemas.microsoft.com/office/drawing/2014/main" id="{00000000-0008-0000-0600-00007E000000}"/>
              </a:ext>
            </a:extLst>
          </xdr:cNvPr>
          <xdr:cNvSpPr txBox="1"/>
        </xdr:nvSpPr>
        <xdr:spPr>
          <a:xfrm>
            <a:off x="1029307" y="8302009"/>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7" name="橢圓​​ 126" descr="3">
            <a:extLst>
              <a:ext uri="{FF2B5EF4-FFF2-40B4-BE49-F238E27FC236}">
                <a16:creationId xmlns:a16="http://schemas.microsoft.com/office/drawing/2014/main" id="{00000000-0008-0000-0600-00007F000000}"/>
              </a:ext>
            </a:extLst>
          </xdr:cNvPr>
          <xdr:cNvSpPr/>
        </xdr:nvSpPr>
        <xdr:spPr>
          <a:xfrm>
            <a:off x="622274" y="8260277"/>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28" name="步驟" descr="SUM 公式會為您向下填滿，因此您不必自行操作">
            <a:extLst>
              <a:ext uri="{FF2B5EF4-FFF2-40B4-BE49-F238E27FC236}">
                <a16:creationId xmlns:a16="http://schemas.microsoft.com/office/drawing/2014/main" id="{00000000-0008-0000-0600-000080000000}"/>
              </a:ext>
            </a:extLst>
          </xdr:cNvPr>
          <xdr:cNvSpPr txBox="1"/>
        </xdr:nvSpPr>
        <xdr:spPr>
          <a:xfrm>
            <a:off x="1029307" y="8778541"/>
            <a:ext cx="4809517" cy="450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SUM 公式會為您向下填滿，因此您不必自行操作。 </a:t>
            </a:r>
          </a:p>
        </xdr:txBody>
      </xdr:sp>
      <xdr:sp macro="" textlink="">
        <xdr:nvSpPr>
          <xdr:cNvPr id="129" name="橢圓​​ 128" descr="4">
            <a:extLst>
              <a:ext uri="{FF2B5EF4-FFF2-40B4-BE49-F238E27FC236}">
                <a16:creationId xmlns:a16="http://schemas.microsoft.com/office/drawing/2014/main" id="{00000000-0008-0000-0600-000081000000}"/>
              </a:ext>
            </a:extLst>
          </xdr:cNvPr>
          <xdr:cNvSpPr/>
        </xdr:nvSpPr>
        <xdr:spPr>
          <a:xfrm>
            <a:off x="622274" y="8736808"/>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0" name="步驟" descr="按 Alt 和等於鍵">
            <a:extLst>
              <a:ext uri="{FF2B5EF4-FFF2-40B4-BE49-F238E27FC236}">
                <a16:creationId xmlns:a16="http://schemas.microsoft.com/office/drawing/2014/main" id="{00000000-0008-0000-0600-000082000000}"/>
              </a:ext>
            </a:extLst>
          </xdr:cNvPr>
          <xdr:cNvSpPr txBox="1"/>
        </xdr:nvSpPr>
        <xdr:spPr>
          <a:xfrm>
            <a:off x="1029307" y="7756081"/>
            <a:ext cx="4809517" cy="6273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1" name="橢圓​​ 130" descr="2">
            <a:extLst>
              <a:ext uri="{FF2B5EF4-FFF2-40B4-BE49-F238E27FC236}">
                <a16:creationId xmlns:a16="http://schemas.microsoft.com/office/drawing/2014/main" id="{00000000-0008-0000-0600-000083000000}"/>
              </a:ext>
            </a:extLst>
          </xdr:cNvPr>
          <xdr:cNvSpPr/>
        </xdr:nvSpPr>
        <xdr:spPr>
          <a:xfrm>
            <a:off x="622274" y="7714349"/>
            <a:ext cx="371587" cy="36488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16" name="矩形​​：圓角 115" descr="Enter 鍵">
            <a:extLst>
              <a:ext uri="{FF2B5EF4-FFF2-40B4-BE49-F238E27FC236}">
                <a16:creationId xmlns:a16="http://schemas.microsoft.com/office/drawing/2014/main" id="{00000000-0008-0000-0600-000074000000}"/>
              </a:ext>
            </a:extLst>
          </xdr:cNvPr>
          <xdr:cNvSpPr/>
        </xdr:nvSpPr>
        <xdr:spPr>
          <a:xfrm>
            <a:off x="1321728" y="8305359"/>
            <a:ext cx="505303"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Enter</a:t>
            </a:r>
          </a:p>
        </xdr:txBody>
      </xdr:sp>
      <xdr:sp macro="" textlink="">
        <xdr:nvSpPr>
          <xdr:cNvPr id="117" name="矩形​​：圓角 116" descr="Alt 鍵">
            <a:extLst>
              <a:ext uri="{FF2B5EF4-FFF2-40B4-BE49-F238E27FC236}">
                <a16:creationId xmlns:a16="http://schemas.microsoft.com/office/drawing/2014/main" id="{00000000-0008-0000-0600-000075000000}"/>
              </a:ext>
            </a:extLst>
          </xdr:cNvPr>
          <xdr:cNvSpPr/>
        </xdr:nvSpPr>
        <xdr:spPr>
          <a:xfrm>
            <a:off x="1321728" y="7759431"/>
            <a:ext cx="459442"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Alt</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8" name="矩形​​：圓角 117" descr="等於鍵">
            <a:extLst>
              <a:ext uri="{FF2B5EF4-FFF2-40B4-BE49-F238E27FC236}">
                <a16:creationId xmlns:a16="http://schemas.microsoft.com/office/drawing/2014/main" id="{00000000-0008-0000-0600-000076000000}"/>
              </a:ext>
            </a:extLst>
          </xdr:cNvPr>
          <xdr:cNvSpPr/>
        </xdr:nvSpPr>
        <xdr:spPr>
          <a:xfrm>
            <a:off x="1866130" y="7759431"/>
            <a:ext cx="466658" cy="252539"/>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grpSp>
    <xdr:clientData/>
  </xdr:twoCellAnchor>
  <xdr:twoCellAnchor editAs="oneCell">
    <xdr:from>
      <xdr:col>5</xdr:col>
      <xdr:colOff>171450</xdr:colOff>
      <xdr:row>57</xdr:row>
      <xdr:rowOff>85725</xdr:rowOff>
    </xdr:from>
    <xdr:to>
      <xdr:col>7</xdr:col>
      <xdr:colOff>381000</xdr:colOff>
      <xdr:row>64</xdr:row>
      <xdr:rowOff>28575</xdr:rowOff>
    </xdr:to>
    <xdr:grpSp>
      <xdr:nvGrpSpPr>
        <xdr:cNvPr id="10" name="群組 9" descr="GOOD TO KNOW&#10;There's a shortcut for showing and hiding the total row. Click inside the table, and then press CTRL+SHIFT+T&#10;">
          <a:extLst>
            <a:ext uri="{FF2B5EF4-FFF2-40B4-BE49-F238E27FC236}">
              <a16:creationId xmlns:a16="http://schemas.microsoft.com/office/drawing/2014/main" id="{BFEA1FE4-89AC-4625-8F8A-07828BBC6514}"/>
            </a:ext>
          </a:extLst>
        </xdr:cNvPr>
        <xdr:cNvGrpSpPr/>
      </xdr:nvGrpSpPr>
      <xdr:grpSpPr>
        <a:xfrm>
          <a:off x="9829800" y="11515725"/>
          <a:ext cx="2343150" cy="1276350"/>
          <a:chOff x="8753475" y="11934825"/>
          <a:chExt cx="2162175" cy="1276350"/>
        </a:xfrm>
      </xdr:grpSpPr>
      <xdr:sp macro="" textlink="">
        <xdr:nvSpPr>
          <xdr:cNvPr id="132" name="步驟" descr="GOOD TO KNOW&#10;There's a shortcut for showing and hiding the total row. Click inside the table, and then press CTRL+SHIFT+T">
            <a:extLst>
              <a:ext uri="{FF2B5EF4-FFF2-40B4-BE49-F238E27FC236}">
                <a16:creationId xmlns:a16="http://schemas.microsoft.com/office/drawing/2014/main" id="{00000000-0008-0000-0600-000084000000}"/>
              </a:ext>
            </a:extLst>
          </xdr:cNvPr>
          <xdr:cNvSpPr txBox="1"/>
        </xdr:nvSpPr>
        <xdr:spPr>
          <a:xfrm>
            <a:off x="9041105" y="11969833"/>
            <a:ext cx="1874545" cy="1241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有顯示及隱藏合計列的快速鍵。在表格內按一下，然後按</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CTRL+SHIFT+T。</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33" name="圖形 147" descr="眼鏡">
            <a:extLst>
              <a:ext uri="{FF2B5EF4-FFF2-40B4-BE49-F238E27FC236}">
                <a16:creationId xmlns:a16="http://schemas.microsoft.com/office/drawing/2014/main" id="{00000000-0008-0000-0600-000085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53475" y="11934825"/>
            <a:ext cx="323347" cy="364990"/>
          </a:xfrm>
          <a:prstGeom prst="rect">
            <a:avLst/>
          </a:prstGeom>
        </xdr:spPr>
      </xdr:pic>
    </xdr:grpSp>
    <xdr:clientData/>
  </xdr:twoCellAnchor>
  <xdr:twoCellAnchor>
    <xdr:from>
      <xdr:col>3</xdr:col>
      <xdr:colOff>552448</xdr:colOff>
      <xdr:row>15</xdr:row>
      <xdr:rowOff>114299</xdr:rowOff>
    </xdr:from>
    <xdr:to>
      <xdr:col>7</xdr:col>
      <xdr:colOff>314324</xdr:colOff>
      <xdr:row>22</xdr:row>
      <xdr:rowOff>9524</xdr:rowOff>
    </xdr:to>
    <xdr:grpSp>
      <xdr:nvGrpSpPr>
        <xdr:cNvPr id="9" name="群組 8"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C3D35DA7-926B-43B9-BEF0-4CF9BDBC13F3}"/>
            </a:ext>
          </a:extLst>
        </xdr:cNvPr>
        <xdr:cNvGrpSpPr/>
      </xdr:nvGrpSpPr>
      <xdr:grpSpPr>
        <a:xfrm>
          <a:off x="8286748" y="3543299"/>
          <a:ext cx="3819526" cy="1228725"/>
          <a:chOff x="7791412" y="3790949"/>
          <a:chExt cx="2343187" cy="1362075"/>
        </a:xfrm>
      </xdr:grpSpPr>
      <xdr:sp macro="" textlink="">
        <xdr:nvSpPr>
          <xdr:cNvPr id="136" name="步驟" descr="EXTRA CREDIT&#10;Try changing the table style. First click inside the table, and the Table Tools Design tab will appear at the top of Excel. Click that tab, and then pick a style you like">
            <a:extLst>
              <a:ext uri="{FF2B5EF4-FFF2-40B4-BE49-F238E27FC236}">
                <a16:creationId xmlns:a16="http://schemas.microsoft.com/office/drawing/2014/main" id="{00000000-0008-0000-0600-000088000000}"/>
              </a:ext>
            </a:extLst>
          </xdr:cNvPr>
          <xdr:cNvSpPr txBox="1"/>
        </xdr:nvSpPr>
        <xdr:spPr>
          <a:xfrm>
            <a:off x="8008156" y="3790949"/>
            <a:ext cx="2126443"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試著變更表格樣式。先在表格內按一下，</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Excel 頂端會隨即顯示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表格設計</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索引標籤。按一下該索引標籤，並選擇您要的樣式。</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37" name="圖形 263" descr="綵帶">
            <a:extLst>
              <a:ext uri="{FF2B5EF4-FFF2-40B4-BE49-F238E27FC236}">
                <a16:creationId xmlns:a16="http://schemas.microsoft.com/office/drawing/2014/main" id="{00000000-0008-0000-0600-000089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791412" y="3845776"/>
            <a:ext cx="292930" cy="439736"/>
          </a:xfrm>
          <a:prstGeom prst="rect">
            <a:avLst/>
          </a:prstGeom>
        </xdr:spPr>
      </xdr:pic>
    </xdr:grpSp>
    <xdr:clientData/>
  </xdr:twoCellAnchor>
  <xdr:twoCellAnchor editAs="oneCell">
    <xdr:from>
      <xdr:col>2</xdr:col>
      <xdr:colOff>428625</xdr:colOff>
      <xdr:row>41</xdr:row>
      <xdr:rowOff>104774</xdr:rowOff>
    </xdr:from>
    <xdr:to>
      <xdr:col>6</xdr:col>
      <xdr:colOff>619125</xdr:colOff>
      <xdr:row>48</xdr:row>
      <xdr:rowOff>76199</xdr:rowOff>
    </xdr:to>
    <xdr:grpSp>
      <xdr:nvGrpSpPr>
        <xdr:cNvPr id="4" name="試試看" descr="試試看：加入計算結果欄之後，請試著在欄的其中一個儲存格中輸入內容。這麼做會產生什麼結果呢？如果您看到一個綠色三角形，請按一下該圖示，然後按驚嘆號。您會發現 Excel 正在密切注意您執行什麼動作...">
          <a:extLst>
            <a:ext uri="{FF2B5EF4-FFF2-40B4-BE49-F238E27FC236}">
              <a16:creationId xmlns:a16="http://schemas.microsoft.com/office/drawing/2014/main" id="{00000000-0008-0000-0600-000004000000}"/>
            </a:ext>
          </a:extLst>
        </xdr:cNvPr>
        <xdr:cNvGrpSpPr/>
      </xdr:nvGrpSpPr>
      <xdr:grpSpPr>
        <a:xfrm>
          <a:off x="6972300" y="8486774"/>
          <a:ext cx="4371975" cy="1304925"/>
          <a:chOff x="6800850" y="8905874"/>
          <a:chExt cx="4000500" cy="1304925"/>
        </a:xfrm>
      </xdr:grpSpPr>
      <xdr:pic>
        <xdr:nvPicPr>
          <xdr:cNvPr id="138" name="圖形 96" descr="燒瓶">
            <a:extLst>
              <a:ext uri="{FF2B5EF4-FFF2-40B4-BE49-F238E27FC236}">
                <a16:creationId xmlns:a16="http://schemas.microsoft.com/office/drawing/2014/main" id="{00000000-0008-0000-0600-00008A00000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800850" y="8969959"/>
            <a:ext cx="483787" cy="361950"/>
          </a:xfrm>
          <a:prstGeom prst="rect">
            <a:avLst/>
          </a:prstGeom>
        </xdr:spPr>
      </xdr:pic>
      <xdr:sp macro="" textlink="">
        <xdr:nvSpPr>
          <xdr:cNvPr id="139" name="步驟" descr="EXPERIMENT&#10;After putting in the calculated column, try typing over one of the cells in the column. What happens? If you see a green triangle, click it and then click the exclamation mark. You'll see that Excel's watchin' out for ya...">
            <a:extLst>
              <a:ext uri="{FF2B5EF4-FFF2-40B4-BE49-F238E27FC236}">
                <a16:creationId xmlns:a16="http://schemas.microsoft.com/office/drawing/2014/main" id="{00000000-0008-0000-0600-00008B000000}"/>
              </a:ext>
            </a:extLst>
          </xdr:cNvPr>
          <xdr:cNvSpPr txBox="1"/>
        </xdr:nvSpPr>
        <xdr:spPr>
          <a:xfrm>
            <a:off x="7150906" y="8905874"/>
            <a:ext cx="3650444"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實驗</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加入計算結果欄</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之後，請試著在欄的其中一個儲存格中輸入內容。這麼做會產生什麼結果呢？如果您看到一個綠色三角形，請按一下該圖示，然後按驚嘆號。您會發現 Excel 正在密切注意您執行什麼動作...</a:t>
            </a: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0</xdr:col>
      <xdr:colOff>390525</xdr:colOff>
      <xdr:row>45</xdr:row>
      <xdr:rowOff>161925</xdr:rowOff>
    </xdr:from>
    <xdr:to>
      <xdr:col>1</xdr:col>
      <xdr:colOff>5073650</xdr:colOff>
      <xdr:row>70</xdr:row>
      <xdr:rowOff>19050</xdr:rowOff>
    </xdr:to>
    <xdr:grpSp>
      <xdr:nvGrpSpPr>
        <xdr:cNvPr id="3" name="表格中的合計列" descr="Total rows in tables&#10;Another convenience in tables are total rows. Instead of typing a SUM formula, Excel can make that total for you with a flip of a switch. And the same goes for the AVERAGE formula, and many others. Here’s how it works:&#10;Select any cell within the table on the right.&#10;At the top of the Excel window, the Table Tools Design tab will appear. &#10;On that tab, click Total Row.&#10;The total of $24,000 is added to the bottom of the table.&#10;But what if you wanted to know the average? Click the cell with $24,000.&#10;Click the down arrow and then click Average. The average amount of $3,000 appears">
          <a:extLst>
            <a:ext uri="{FF2B5EF4-FFF2-40B4-BE49-F238E27FC236}">
              <a16:creationId xmlns:a16="http://schemas.microsoft.com/office/drawing/2014/main" id="{00000000-0008-0000-0600-000003000000}"/>
            </a:ext>
          </a:extLst>
        </xdr:cNvPr>
        <xdr:cNvGrpSpPr/>
      </xdr:nvGrpSpPr>
      <xdr:grpSpPr>
        <a:xfrm>
          <a:off x="390525" y="9305925"/>
          <a:ext cx="5778500" cy="4619625"/>
          <a:chOff x="390525" y="9801226"/>
          <a:chExt cx="5695950" cy="4591050"/>
        </a:xfrm>
      </xdr:grpSpPr>
      <xdr:sp macro="" textlink="">
        <xdr:nvSpPr>
          <xdr:cNvPr id="141" name="矩形 140" descr="背景">
            <a:extLst>
              <a:ext uri="{FF2B5EF4-FFF2-40B4-BE49-F238E27FC236}">
                <a16:creationId xmlns:a16="http://schemas.microsoft.com/office/drawing/2014/main" id="{00000000-0008-0000-0600-00008D000000}"/>
              </a:ext>
            </a:extLst>
          </xdr:cNvPr>
          <xdr:cNvSpPr/>
        </xdr:nvSpPr>
        <xdr:spPr>
          <a:xfrm>
            <a:off x="390525" y="9801226"/>
            <a:ext cx="5695950" cy="45910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2" name="步驟" descr="表格中的合計列">
            <a:extLst>
              <a:ext uri="{FF2B5EF4-FFF2-40B4-BE49-F238E27FC236}">
                <a16:creationId xmlns:a16="http://schemas.microsoft.com/office/drawing/2014/main" id="{00000000-0008-0000-0600-00008E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表格中的合計列</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3" name="直線接點​​ 142" descr="裝飾線條">
            <a:extLst>
              <a:ext uri="{FF2B5EF4-FFF2-40B4-BE49-F238E27FC236}">
                <a16:creationId xmlns:a16="http://schemas.microsoft.com/office/drawing/2014/main" id="{00000000-0008-0000-0600-00008F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4" name="步驟" descr="表格的另一項便利功能是合計列。只要稍作設定就能讓 Excel 為您進行合計，而不必輸入 SUM 公式。AVERAGE 公式和許多其他公式亦是如此。運作方式如下：">
            <a:extLst>
              <a:ext uri="{FF2B5EF4-FFF2-40B4-BE49-F238E27FC236}">
                <a16:creationId xmlns:a16="http://schemas.microsoft.com/office/drawing/2014/main" id="{00000000-0008-0000-0600-000090000000}"/>
              </a:ext>
            </a:extLst>
          </xdr:cNvPr>
          <xdr:cNvSpPr txBox="1"/>
        </xdr:nvSpPr>
        <xdr:spPr>
          <a:xfrm>
            <a:off x="619125" y="10510470"/>
            <a:ext cx="5300938" cy="653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表格的另一項便利功能是</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只要稍作設定即可讓 Excel 為您進行合計，而不必輸入 SUM 公式。AVERAGE 公式和許多其他公式亦是如此。運作方式如下：</a:t>
            </a:r>
          </a:p>
        </xdr:txBody>
      </xdr:sp>
      <xdr:sp macro="" textlink="">
        <xdr:nvSpPr>
          <xdr:cNvPr id="145" name="步驟" descr="在右側的表格內選取任何儲存格">
            <a:extLst>
              <a:ext uri="{FF2B5EF4-FFF2-40B4-BE49-F238E27FC236}">
                <a16:creationId xmlns:a16="http://schemas.microsoft.com/office/drawing/2014/main" id="{00000000-0008-0000-0600-000091000000}"/>
              </a:ext>
            </a:extLst>
          </xdr:cNvPr>
          <xdr:cNvSpPr txBox="1"/>
        </xdr:nvSpPr>
        <xdr:spPr>
          <a:xfrm>
            <a:off x="1029308" y="11165348"/>
            <a:ext cx="4809516" cy="406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在右側的表格內選取任何儲存格。</a:t>
            </a:r>
          </a:p>
        </xdr:txBody>
      </xdr:sp>
      <xdr:sp macro="" textlink="">
        <xdr:nvSpPr>
          <xdr:cNvPr id="146" name="橢圓​​ 145" descr="1">
            <a:extLst>
              <a:ext uri="{FF2B5EF4-FFF2-40B4-BE49-F238E27FC236}">
                <a16:creationId xmlns:a16="http://schemas.microsoft.com/office/drawing/2014/main" id="{00000000-0008-0000-0600-000092000000}"/>
              </a:ext>
            </a:extLst>
          </xdr:cNvPr>
          <xdr:cNvSpPr/>
        </xdr:nvSpPr>
        <xdr:spPr>
          <a:xfrm>
            <a:off x="622274" y="111228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47" name="步驟" descr="在該索引標籤上，按一下 [合計列]">
            <a:extLst>
              <a:ext uri="{FF2B5EF4-FFF2-40B4-BE49-F238E27FC236}">
                <a16:creationId xmlns:a16="http://schemas.microsoft.com/office/drawing/2014/main" id="{00000000-0008-0000-0600-000093000000}"/>
              </a:ext>
            </a:extLst>
          </xdr:cNvPr>
          <xdr:cNvSpPr txBox="1"/>
        </xdr:nvSpPr>
        <xdr:spPr>
          <a:xfrm>
            <a:off x="1029307" y="12134183"/>
            <a:ext cx="4809517" cy="3101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在該索引標籤上，按一下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[合計列]</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48" name="橢圓​​ 147" descr="3">
            <a:extLst>
              <a:ext uri="{FF2B5EF4-FFF2-40B4-BE49-F238E27FC236}">
                <a16:creationId xmlns:a16="http://schemas.microsoft.com/office/drawing/2014/main" id="{00000000-0008-0000-0600-000094000000}"/>
              </a:ext>
            </a:extLst>
          </xdr:cNvPr>
          <xdr:cNvSpPr/>
        </xdr:nvSpPr>
        <xdr:spPr>
          <a:xfrm>
            <a:off x="622274" y="1209168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49" name="步驟" descr="$24,000 的合計結果會加入表格底部">
            <a:extLst>
              <a:ext uri="{FF2B5EF4-FFF2-40B4-BE49-F238E27FC236}">
                <a16:creationId xmlns:a16="http://schemas.microsoft.com/office/drawing/2014/main" id="{00000000-0008-0000-0600-000095000000}"/>
              </a:ext>
            </a:extLst>
          </xdr:cNvPr>
          <xdr:cNvSpPr txBox="1"/>
        </xdr:nvSpPr>
        <xdr:spPr>
          <a:xfrm>
            <a:off x="1029307" y="12616948"/>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$24,000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的合計結果會加入表格底部。 </a:t>
            </a:r>
          </a:p>
        </xdr:txBody>
      </xdr:sp>
      <xdr:sp macro="" textlink="">
        <xdr:nvSpPr>
          <xdr:cNvPr id="150" name="橢圓​​ 149" descr="4">
            <a:extLst>
              <a:ext uri="{FF2B5EF4-FFF2-40B4-BE49-F238E27FC236}">
                <a16:creationId xmlns:a16="http://schemas.microsoft.com/office/drawing/2014/main" id="{00000000-0008-0000-0600-000096000000}"/>
              </a:ext>
            </a:extLst>
          </xdr:cNvPr>
          <xdr:cNvSpPr/>
        </xdr:nvSpPr>
        <xdr:spPr>
          <a:xfrm>
            <a:off x="622274" y="1257444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51" name="步驟" descr="在 Excel 視窗的頂端上，隨即顯示 [表格工具] [設計] 索引標籤">
            <a:extLst>
              <a:ext uri="{FF2B5EF4-FFF2-40B4-BE49-F238E27FC236}">
                <a16:creationId xmlns:a16="http://schemas.microsoft.com/office/drawing/2014/main" id="{00000000-0008-0000-0600-000097000000}"/>
              </a:ext>
            </a:extLst>
          </xdr:cNvPr>
          <xdr:cNvSpPr txBox="1"/>
        </xdr:nvSpPr>
        <xdr:spPr>
          <a:xfrm>
            <a:off x="1029307" y="11646978"/>
            <a:ext cx="4809517" cy="323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Excel 視窗的頂端上，隨即顯示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[表格設計]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 </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52" name="橢圓​​ 151" descr="2">
            <a:extLst>
              <a:ext uri="{FF2B5EF4-FFF2-40B4-BE49-F238E27FC236}">
                <a16:creationId xmlns:a16="http://schemas.microsoft.com/office/drawing/2014/main" id="{00000000-0008-0000-0600-000098000000}"/>
              </a:ext>
            </a:extLst>
          </xdr:cNvPr>
          <xdr:cNvSpPr/>
        </xdr:nvSpPr>
        <xdr:spPr>
          <a:xfrm>
            <a:off x="622274" y="116044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53" name="步驟" descr="但如果您想知道平均值，該怎麼辦？按一下包含 $24,000 的儲存格">
            <a:extLst>
              <a:ext uri="{FF2B5EF4-FFF2-40B4-BE49-F238E27FC236}">
                <a16:creationId xmlns:a16="http://schemas.microsoft.com/office/drawing/2014/main" id="{00000000-0008-0000-0600-000099000000}"/>
              </a:ext>
            </a:extLst>
          </xdr:cNvPr>
          <xdr:cNvSpPr txBox="1"/>
        </xdr:nvSpPr>
        <xdr:spPr>
          <a:xfrm>
            <a:off x="1029307" y="13105179"/>
            <a:ext cx="4809517" cy="355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但如果您想知道平均值，該怎麼辦？按一下包含 </a:t>
            </a:r>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$24,000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的儲存格</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54" name="橢圓​​ 153" descr="5">
            <a:extLst>
              <a:ext uri="{FF2B5EF4-FFF2-40B4-BE49-F238E27FC236}">
                <a16:creationId xmlns:a16="http://schemas.microsoft.com/office/drawing/2014/main" id="{00000000-0008-0000-0600-00009A000000}"/>
              </a:ext>
            </a:extLst>
          </xdr:cNvPr>
          <xdr:cNvSpPr/>
        </xdr:nvSpPr>
        <xdr:spPr>
          <a:xfrm>
            <a:off x="622274" y="1306268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55" name="步驟" descr="按一下向下箭號，然後按一下 [平均值]。$3,000 的平均金額隨即顯示">
            <a:extLst>
              <a:ext uri="{FF2B5EF4-FFF2-40B4-BE49-F238E27FC236}">
                <a16:creationId xmlns:a16="http://schemas.microsoft.com/office/drawing/2014/main" id="{00000000-0008-0000-0600-00009B000000}"/>
              </a:ext>
            </a:extLst>
          </xdr:cNvPr>
          <xdr:cNvSpPr txBox="1"/>
        </xdr:nvSpPr>
        <xdr:spPr>
          <a:xfrm>
            <a:off x="1029307" y="13587049"/>
            <a:ext cx="4809517" cy="4591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按一下向下箭號</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[平均值]</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en-US" alt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NT</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$3,000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的平均金額隨即</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顯示</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56" name="橢圓​​ 155" descr="6">
            <a:extLst>
              <a:ext uri="{FF2B5EF4-FFF2-40B4-BE49-F238E27FC236}">
                <a16:creationId xmlns:a16="http://schemas.microsoft.com/office/drawing/2014/main" id="{00000000-0008-0000-0600-00009C000000}"/>
              </a:ext>
            </a:extLst>
          </xdr:cNvPr>
          <xdr:cNvSpPr/>
        </xdr:nvSpPr>
        <xdr:spPr>
          <a:xfrm>
            <a:off x="622274" y="13544550"/>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cxnSp macro="">
        <xdr:nvCxnSpPr>
          <xdr:cNvPr id="157" name="直線接點 156" descr="裝飾線條">
            <a:extLst>
              <a:ext uri="{FF2B5EF4-FFF2-40B4-BE49-F238E27FC236}">
                <a16:creationId xmlns:a16="http://schemas.microsoft.com/office/drawing/2014/main" id="{00000000-0008-0000-0600-00009D000000}"/>
              </a:ext>
            </a:extLst>
          </xdr:cNvPr>
          <xdr:cNvCxnSpPr>
            <a:cxnSpLocks/>
          </xdr:cNvCxnSpPr>
        </xdr:nvCxnSpPr>
        <xdr:spPr>
          <a:xfrm>
            <a:off x="625449" y="1416113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pic>
        <xdr:nvPicPr>
          <xdr:cNvPr id="158" name="圖片 157" descr="向下箭頭">
            <a:extLst>
              <a:ext uri="{FF2B5EF4-FFF2-40B4-BE49-F238E27FC236}">
                <a16:creationId xmlns:a16="http://schemas.microsoft.com/office/drawing/2014/main" id="{00000000-0008-0000-0600-00009E000000}"/>
              </a:ext>
            </a:extLst>
          </xdr:cNvPr>
          <xdr:cNvPicPr>
            <a:picLocks noChangeAspect="1"/>
          </xdr:cNvPicPr>
        </xdr:nvPicPr>
        <xdr:blipFill rotWithShape="1">
          <a:blip xmlns:r="http://schemas.openxmlformats.org/officeDocument/2006/relationships" r:embed="rId10"/>
          <a:srcRect l="50577" t="24115" r="25368" b="21977"/>
          <a:stretch/>
        </xdr:blipFill>
        <xdr:spPr>
          <a:xfrm>
            <a:off x="2147010" y="13632504"/>
            <a:ext cx="158075" cy="154021"/>
          </a:xfrm>
          <a:prstGeom prst="rect">
            <a:avLst/>
          </a:prstGeom>
        </xdr:spPr>
      </xdr:pic>
    </xdr:grpSp>
    <xdr:clientData/>
  </xdr:twoCellAnchor>
  <xdr:twoCellAnchor editAs="oneCell">
    <xdr:from>
      <xdr:col>0</xdr:col>
      <xdr:colOff>385765</xdr:colOff>
      <xdr:row>70</xdr:row>
      <xdr:rowOff>180975</xdr:rowOff>
    </xdr:from>
    <xdr:to>
      <xdr:col>1</xdr:col>
      <xdr:colOff>5068890</xdr:colOff>
      <xdr:row>88</xdr:row>
      <xdr:rowOff>98823</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600-000002000000}"/>
            </a:ext>
          </a:extLst>
        </xdr:cNvPr>
        <xdr:cNvGrpSpPr/>
      </xdr:nvGrpSpPr>
      <xdr:grpSpPr>
        <a:xfrm>
          <a:off x="385765" y="14087475"/>
          <a:ext cx="5778500" cy="3346848"/>
          <a:chOff x="385765" y="14586347"/>
          <a:chExt cx="5695950" cy="3267075"/>
        </a:xfrm>
      </xdr:grpSpPr>
      <xdr:sp macro="" textlink="">
        <xdr:nvSpPr>
          <xdr:cNvPr id="160" name="矩形 159" descr="背景">
            <a:extLst>
              <a:ext uri="{FF2B5EF4-FFF2-40B4-BE49-F238E27FC236}">
                <a16:creationId xmlns:a16="http://schemas.microsoft.com/office/drawing/2014/main" id="{00000000-0008-0000-0600-0000A0000000}"/>
              </a:ext>
            </a:extLst>
          </xdr:cNvPr>
          <xdr:cNvSpPr/>
        </xdr:nvSpPr>
        <xdr:spPr>
          <a:xfrm>
            <a:off x="385765" y="14586347"/>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61" name="步驟" descr="Web 上的更多資訊">
            <a:extLst>
              <a:ext uri="{FF2B5EF4-FFF2-40B4-BE49-F238E27FC236}">
                <a16:creationId xmlns:a16="http://schemas.microsoft.com/office/drawing/2014/main" id="{00000000-0008-0000-0600-0000A1000000}"/>
              </a:ext>
            </a:extLst>
          </xdr:cNvPr>
          <xdr:cNvSpPr txBox="1"/>
        </xdr:nvSpPr>
        <xdr:spPr>
          <a:xfrm>
            <a:off x="617513" y="14705045"/>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62" name="直線接點 161" descr="裝飾線條">
            <a:extLst>
              <a:ext uri="{FF2B5EF4-FFF2-40B4-BE49-F238E27FC236}">
                <a16:creationId xmlns:a16="http://schemas.microsoft.com/office/drawing/2014/main" id="{00000000-0008-0000-0600-0000A2000000}"/>
              </a:ext>
            </a:extLst>
          </xdr:cNvPr>
          <xdr:cNvCxnSpPr>
            <a:cxnSpLocks/>
          </xdr:cNvCxnSpPr>
        </xdr:nvCxnSpPr>
        <xdr:spPr>
          <a:xfrm>
            <a:off x="620689" y="15212458"/>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3" name="[下一步] 按鈕" descr="回到頁首，附有移至儲存格 A1 的超連結">
            <a:hlinkClick xmlns:r="http://schemas.openxmlformats.org/officeDocument/2006/relationships" r:id="rId11" tooltip="選取以回到此工作表中的儲存格 A1"/>
            <a:extLst>
              <a:ext uri="{FF2B5EF4-FFF2-40B4-BE49-F238E27FC236}">
                <a16:creationId xmlns:a16="http://schemas.microsoft.com/office/drawing/2014/main" id="{00000000-0008-0000-0600-0000A3000000}"/>
              </a:ext>
            </a:extLst>
          </xdr:cNvPr>
          <xdr:cNvSpPr/>
        </xdr:nvSpPr>
        <xdr:spPr>
          <a:xfrm>
            <a:off x="620689" y="1708912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64" name="直線接點​​ 163" descr="裝飾線條">
            <a:extLst>
              <a:ext uri="{FF2B5EF4-FFF2-40B4-BE49-F238E27FC236}">
                <a16:creationId xmlns:a16="http://schemas.microsoft.com/office/drawing/2014/main" id="{00000000-0008-0000-0600-0000A4000000}"/>
              </a:ext>
            </a:extLst>
          </xdr:cNvPr>
          <xdr:cNvCxnSpPr>
            <a:cxnSpLocks/>
          </xdr:cNvCxnSpPr>
        </xdr:nvCxnSpPr>
        <xdr:spPr>
          <a:xfrm>
            <a:off x="620689" y="168437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65"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600-0000A5000000}"/>
              </a:ext>
            </a:extLst>
          </xdr:cNvPr>
          <xdr:cNvSpPr/>
        </xdr:nvSpPr>
        <xdr:spPr>
          <a:xfrm>
            <a:off x="4679635" y="1727962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66" name="步驟" descr="Excel 表格概觀，附有移至 Web 的超連結">
            <a:hlinkClick xmlns:r="http://schemas.openxmlformats.org/officeDocument/2006/relationships" r:id="rId12" tooltip="選取以從 Web 了解 Excel 表格概觀"/>
            <a:extLst>
              <a:ext uri="{FF2B5EF4-FFF2-40B4-BE49-F238E27FC236}">
                <a16:creationId xmlns:a16="http://schemas.microsoft.com/office/drawing/2014/main" id="{00000000-0008-0000-0600-0000A6000000}"/>
              </a:ext>
            </a:extLst>
          </xdr:cNvPr>
          <xdr:cNvSpPr txBox="1"/>
        </xdr:nvSpPr>
        <xdr:spPr>
          <a:xfrm>
            <a:off x="1024548" y="15381196"/>
            <a:ext cx="173770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Excel 表格概觀</a:t>
            </a:r>
          </a:p>
        </xdr:txBody>
      </xdr:sp>
      <xdr:pic>
        <xdr:nvPicPr>
          <xdr:cNvPr id="167"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600-0000A7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285919"/>
            <a:ext cx="454554" cy="448472"/>
          </a:xfrm>
          <a:prstGeom prst="rect">
            <a:avLst/>
          </a:prstGeom>
        </xdr:spPr>
      </xdr:pic>
      <xdr:sp macro="" textlink="">
        <xdr:nvSpPr>
          <xdr:cNvPr id="168" name="步驟" descr="合計 Excel 表格中的資料，附有移至 Web 的超連結">
            <a:hlinkClick xmlns:r="http://schemas.openxmlformats.org/officeDocument/2006/relationships" r:id="rId15" tooltip="選取以從 Web 了解如何合計 Excel 表格中的資料"/>
            <a:extLst>
              <a:ext uri="{FF2B5EF4-FFF2-40B4-BE49-F238E27FC236}">
                <a16:creationId xmlns:a16="http://schemas.microsoft.com/office/drawing/2014/main" id="{00000000-0008-0000-0600-0000A8000000}"/>
              </a:ext>
            </a:extLst>
          </xdr:cNvPr>
          <xdr:cNvSpPr txBox="1"/>
        </xdr:nvSpPr>
        <xdr:spPr>
          <a:xfrm>
            <a:off x="1024548" y="15845803"/>
            <a:ext cx="208060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合計 Excel 表格中的資料</a:t>
            </a:r>
          </a:p>
        </xdr:txBody>
      </xdr:sp>
      <xdr:pic>
        <xdr:nvPicPr>
          <xdr:cNvPr id="169" name="圖形 22" descr="箭號">
            <a:hlinkClick xmlns:r="http://schemas.openxmlformats.org/officeDocument/2006/relationships" r:id="rId15" tooltip="選取以從網路深入了解"/>
            <a:extLst>
              <a:ext uri="{FF2B5EF4-FFF2-40B4-BE49-F238E27FC236}">
                <a16:creationId xmlns:a16="http://schemas.microsoft.com/office/drawing/2014/main" id="{00000000-0008-0000-0600-0000A9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5743773"/>
            <a:ext cx="454554" cy="448472"/>
          </a:xfrm>
          <a:prstGeom prst="rect">
            <a:avLst/>
          </a:prstGeom>
        </xdr:spPr>
      </xdr:pic>
      <xdr:sp macro="" textlink="">
        <xdr:nvSpPr>
          <xdr:cNvPr id="170" name="步驟" descr="使用 Excel 表格中的計算結果欄，附有移至 Web 的超連結">
            <a:hlinkClick xmlns:r="http://schemas.openxmlformats.org/officeDocument/2006/relationships" r:id="rId16" tooltip="選取以從 Web 了解如何使用 Excel 表格中的計算結果欄"/>
            <a:extLst>
              <a:ext uri="{FF2B5EF4-FFF2-40B4-BE49-F238E27FC236}">
                <a16:creationId xmlns:a16="http://schemas.microsoft.com/office/drawing/2014/main" id="{00000000-0008-0000-0600-0000AA000000}"/>
              </a:ext>
            </a:extLst>
          </xdr:cNvPr>
          <xdr:cNvSpPr txBox="1"/>
        </xdr:nvSpPr>
        <xdr:spPr>
          <a:xfrm>
            <a:off x="1024548" y="16312969"/>
            <a:ext cx="277592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 Excel 表格中的計算結果欄</a:t>
            </a:r>
          </a:p>
        </xdr:txBody>
      </xdr:sp>
      <xdr:pic>
        <xdr:nvPicPr>
          <xdr:cNvPr id="171" name="圖形 22" descr="箭號">
            <a:hlinkClick xmlns:r="http://schemas.openxmlformats.org/officeDocument/2006/relationships" r:id="rId16" tooltip="選取以從網路深入了解"/>
            <a:extLst>
              <a:ext uri="{FF2B5EF4-FFF2-40B4-BE49-F238E27FC236}">
                <a16:creationId xmlns:a16="http://schemas.microsoft.com/office/drawing/2014/main" id="{00000000-0008-0000-0600-0000AB00000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97268" y="16210939"/>
            <a:ext cx="454554" cy="448472"/>
          </a:xfrm>
          <a:prstGeom prst="rect">
            <a:avLst/>
          </a:prstGeom>
        </xdr:spPr>
      </xdr:pic>
    </xdr:grp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333375</xdr:colOff>
      <xdr:row>0</xdr:row>
      <xdr:rowOff>276225</xdr:rowOff>
    </xdr:from>
    <xdr:to>
      <xdr:col>1</xdr:col>
      <xdr:colOff>5016500</xdr:colOff>
      <xdr:row>22</xdr:row>
      <xdr:rowOff>76200</xdr:rowOff>
    </xdr:to>
    <xdr:grpSp>
      <xdr:nvGrpSpPr>
        <xdr:cNvPr id="9" name="插入下拉式清單" descr="Insert a drop-down list&#10;Drop-down lists make data entry easier for people. Here's how to do one:&#10;We want only three department names to be valid entries for each of the foods on the right. Those departments are Produce, Meat and Bakery.&#10;Click and drag to select the yellow cells under Department.&#10;On the Data tab, click Data Validation. Under Allow, click List.&#10;In the Source box, type Produce, Meat, Bakery. Make sure to put commas in between them. Click OK when you’re done.&#10;Now click the yellow cell next to Apples, and you'll see a drop-down menu.&#10;Dive down for more detail &#10;Next step">
          <a:extLst>
            <a:ext uri="{FF2B5EF4-FFF2-40B4-BE49-F238E27FC236}">
              <a16:creationId xmlns:a16="http://schemas.microsoft.com/office/drawing/2014/main" id="{00000000-0008-0000-0700-000009000000}"/>
            </a:ext>
          </a:extLst>
        </xdr:cNvPr>
        <xdr:cNvGrpSpPr/>
      </xdr:nvGrpSpPr>
      <xdr:grpSpPr>
        <a:xfrm>
          <a:off x="333375" y="276225"/>
          <a:ext cx="5778500" cy="4562475"/>
          <a:chOff x="333375" y="276225"/>
          <a:chExt cx="5693569" cy="4636294"/>
        </a:xfrm>
      </xdr:grpSpPr>
      <xdr:sp macro="" textlink="">
        <xdr:nvSpPr>
          <xdr:cNvPr id="89" name="矩形 88" descr="背景">
            <a:extLst>
              <a:ext uri="{FF2B5EF4-FFF2-40B4-BE49-F238E27FC236}">
                <a16:creationId xmlns:a16="http://schemas.microsoft.com/office/drawing/2014/main" id="{00000000-0008-0000-0700-000059000000}"/>
              </a:ext>
            </a:extLst>
          </xdr:cNvPr>
          <xdr:cNvSpPr/>
        </xdr:nvSpPr>
        <xdr:spPr>
          <a:xfrm>
            <a:off x="333375" y="276225"/>
            <a:ext cx="5693569" cy="463629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0" name="步驟" descr="插入下拉式清單">
            <a:extLst>
              <a:ext uri="{FF2B5EF4-FFF2-40B4-BE49-F238E27FC236}">
                <a16:creationId xmlns:a16="http://schemas.microsoft.com/office/drawing/2014/main" id="{00000000-0008-0000-0700-00005A000000}"/>
              </a:ext>
            </a:extLst>
          </xdr:cNvPr>
          <xdr:cNvSpPr txBox="1"/>
        </xdr:nvSpPr>
        <xdr:spPr>
          <a:xfrm>
            <a:off x="565123" y="394923"/>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插入下拉式清單</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91" name="直線接點​​ 90" descr="裝飾線條">
            <a:extLst>
              <a:ext uri="{FF2B5EF4-FFF2-40B4-BE49-F238E27FC236}">
                <a16:creationId xmlns:a16="http://schemas.microsoft.com/office/drawing/2014/main" id="{00000000-0008-0000-0700-00005B000000}"/>
              </a:ext>
            </a:extLst>
          </xdr:cNvPr>
          <xdr:cNvCxnSpPr>
            <a:cxnSpLocks/>
          </xdr:cNvCxnSpPr>
        </xdr:nvCxnSpPr>
        <xdr:spPr>
          <a:xfrm>
            <a:off x="568299" y="902336"/>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2"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700-00005C000000}"/>
              </a:ext>
            </a:extLst>
          </xdr:cNvPr>
          <xdr:cNvSpPr/>
        </xdr:nvSpPr>
        <xdr:spPr>
          <a:xfrm>
            <a:off x="568299" y="4178263"/>
            <a:ext cx="2720686" cy="545979"/>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93" name="直線接點 92" descr="裝飾線條">
            <a:extLst>
              <a:ext uri="{FF2B5EF4-FFF2-40B4-BE49-F238E27FC236}">
                <a16:creationId xmlns:a16="http://schemas.microsoft.com/office/drawing/2014/main" id="{00000000-0008-0000-0700-00005D000000}"/>
              </a:ext>
            </a:extLst>
          </xdr:cNvPr>
          <xdr:cNvCxnSpPr>
            <a:cxnSpLocks/>
          </xdr:cNvCxnSpPr>
        </xdr:nvCxnSpPr>
        <xdr:spPr>
          <a:xfrm>
            <a:off x="568299" y="3907631"/>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4"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700-00005E000000}"/>
              </a:ext>
            </a:extLst>
          </xdr:cNvPr>
          <xdr:cNvSpPr/>
        </xdr:nvSpPr>
        <xdr:spPr>
          <a:xfrm>
            <a:off x="4624864" y="4178263"/>
            <a:ext cx="1154430" cy="353255"/>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95" name="步驟" descr="下拉式清單可讓人員輕鬆輸入資料。以下說明如何操作：">
            <a:extLst>
              <a:ext uri="{FF2B5EF4-FFF2-40B4-BE49-F238E27FC236}">
                <a16:creationId xmlns:a16="http://schemas.microsoft.com/office/drawing/2014/main" id="{00000000-0008-0000-0700-00005F000000}"/>
              </a:ext>
            </a:extLst>
          </xdr:cNvPr>
          <xdr:cNvSpPr txBox="1"/>
        </xdr:nvSpPr>
        <xdr:spPr>
          <a:xfrm>
            <a:off x="561975" y="975946"/>
            <a:ext cx="5298557" cy="2503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下拉式清單可讓人員輕鬆輸入資料。以下說明如何操作： </a:t>
            </a:r>
          </a:p>
        </xdr:txBody>
      </xdr:sp>
      <xdr:sp macro="" textlink="">
        <xdr:nvSpPr>
          <xdr:cNvPr id="96" name="步驟" descr="我們只想在每種食物的右側輸入三個有效的部門名稱。這些部門為農產品、肉品和烘焙">
            <a:extLst>
              <a:ext uri="{FF2B5EF4-FFF2-40B4-BE49-F238E27FC236}">
                <a16:creationId xmlns:a16="http://schemas.microsoft.com/office/drawing/2014/main" id="{00000000-0008-0000-0700-000060000000}"/>
              </a:ext>
            </a:extLst>
          </xdr:cNvPr>
          <xdr:cNvSpPr txBox="1"/>
        </xdr:nvSpPr>
        <xdr:spPr>
          <a:xfrm>
            <a:off x="969777" y="1261603"/>
            <a:ext cx="4809516" cy="524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我們只想在每種食物的右側輸入三個有效的部門名稱。這些部門為農產品、肉品和烘焙。</a:t>
            </a:r>
          </a:p>
        </xdr:txBody>
      </xdr:sp>
      <xdr:sp macro="" textlink="">
        <xdr:nvSpPr>
          <xdr:cNvPr id="97" name="橢圓​​ 96" descr="1">
            <a:extLst>
              <a:ext uri="{FF2B5EF4-FFF2-40B4-BE49-F238E27FC236}">
                <a16:creationId xmlns:a16="http://schemas.microsoft.com/office/drawing/2014/main" id="{00000000-0008-0000-0700-000061000000}"/>
              </a:ext>
            </a:extLst>
          </xdr:cNvPr>
          <xdr:cNvSpPr/>
        </xdr:nvSpPr>
        <xdr:spPr>
          <a:xfrm>
            <a:off x="565124" y="1277180"/>
            <a:ext cx="369206" cy="376349"/>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98" name="步驟" descr="按一下並拖曳來選取 [部門] 底下的黃色儲存格">
            <a:extLst>
              <a:ext uri="{FF2B5EF4-FFF2-40B4-BE49-F238E27FC236}">
                <a16:creationId xmlns:a16="http://schemas.microsoft.com/office/drawing/2014/main" id="{00000000-0008-0000-0700-000062000000}"/>
              </a:ext>
            </a:extLst>
          </xdr:cNvPr>
          <xdr:cNvSpPr txBox="1"/>
        </xdr:nvSpPr>
        <xdr:spPr>
          <a:xfrm>
            <a:off x="969776" y="1816123"/>
            <a:ext cx="4809517" cy="473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按一下並拖曳來選取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底下的黃色儲存格。</a:t>
            </a:r>
          </a:p>
        </xdr:txBody>
      </xdr:sp>
      <xdr:sp macro="" textlink="">
        <xdr:nvSpPr>
          <xdr:cNvPr id="99" name="橢圓​​ 98" descr="2">
            <a:extLst>
              <a:ext uri="{FF2B5EF4-FFF2-40B4-BE49-F238E27FC236}">
                <a16:creationId xmlns:a16="http://schemas.microsoft.com/office/drawing/2014/main" id="{00000000-0008-0000-0700-000063000000}"/>
              </a:ext>
            </a:extLst>
          </xdr:cNvPr>
          <xdr:cNvSpPr/>
        </xdr:nvSpPr>
        <xdr:spPr>
          <a:xfrm>
            <a:off x="565124" y="1768862"/>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0" name="步驟" descr="在 [資料] 索引標籤上，按一下 [資料驗證]。按一下 [允許] 底下的 [清單]">
            <a:extLst>
              <a:ext uri="{FF2B5EF4-FFF2-40B4-BE49-F238E27FC236}">
                <a16:creationId xmlns:a16="http://schemas.microsoft.com/office/drawing/2014/main" id="{00000000-0008-0000-0700-000064000000}"/>
              </a:ext>
            </a:extLst>
          </xdr:cNvPr>
          <xdr:cNvSpPr txBox="1"/>
        </xdr:nvSpPr>
        <xdr:spPr>
          <a:xfrm>
            <a:off x="969777" y="2184578"/>
            <a:ext cx="4809516" cy="4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[資料驗證]。</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儲存格內</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允許]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底下的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[清單]。 </a:t>
            </a:r>
          </a:p>
        </xdr:txBody>
      </xdr:sp>
      <xdr:sp macro="" textlink="">
        <xdr:nvSpPr>
          <xdr:cNvPr id="101" name="橢圓​​ 100" descr="3">
            <a:extLst>
              <a:ext uri="{FF2B5EF4-FFF2-40B4-BE49-F238E27FC236}">
                <a16:creationId xmlns:a16="http://schemas.microsoft.com/office/drawing/2014/main" id="{00000000-0008-0000-0700-000065000000}"/>
              </a:ext>
            </a:extLst>
          </xdr:cNvPr>
          <xdr:cNvSpPr/>
        </xdr:nvSpPr>
        <xdr:spPr>
          <a:xfrm>
            <a:off x="565124" y="2248549"/>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02" name="步驟" descr="在 [來源] 方塊中，輸入農產品、肉品、烘焙。請務必在每個部門名稱之間放入逗號。完成後，請按一下 [確定]">
            <a:extLst>
              <a:ext uri="{FF2B5EF4-FFF2-40B4-BE49-F238E27FC236}">
                <a16:creationId xmlns:a16="http://schemas.microsoft.com/office/drawing/2014/main" id="{00000000-0008-0000-0700-000066000000}"/>
              </a:ext>
            </a:extLst>
          </xdr:cNvPr>
          <xdr:cNvSpPr txBox="1"/>
        </xdr:nvSpPr>
        <xdr:spPr>
          <a:xfrm>
            <a:off x="969777" y="2760759"/>
            <a:ext cx="4809516" cy="47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方塊中，輸入</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農產品、肉品、烘焙。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請務必在每個部門名稱之間放入逗號。完成後，請按一下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103" name="橢圓​​ 102" descr="4">
            <a:extLst>
              <a:ext uri="{FF2B5EF4-FFF2-40B4-BE49-F238E27FC236}">
                <a16:creationId xmlns:a16="http://schemas.microsoft.com/office/drawing/2014/main" id="{00000000-0008-0000-0700-000067000000}"/>
              </a:ext>
            </a:extLst>
          </xdr:cNvPr>
          <xdr:cNvSpPr/>
        </xdr:nvSpPr>
        <xdr:spPr>
          <a:xfrm>
            <a:off x="565124" y="2786014"/>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04" name="步驟" descr="現在，按一下 [蘋果] 旁邊的黃色儲存格，就能看到下拉式功能表">
            <a:extLst>
              <a:ext uri="{FF2B5EF4-FFF2-40B4-BE49-F238E27FC236}">
                <a16:creationId xmlns:a16="http://schemas.microsoft.com/office/drawing/2014/main" id="{00000000-0008-0000-0700-000068000000}"/>
              </a:ext>
            </a:extLst>
          </xdr:cNvPr>
          <xdr:cNvSpPr txBox="1"/>
        </xdr:nvSpPr>
        <xdr:spPr>
          <a:xfrm>
            <a:off x="969777" y="3322087"/>
            <a:ext cx="4809516" cy="45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[蘋果]</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旁邊的黃色儲存格，就能看到下拉式功能表。</a:t>
            </a:r>
          </a:p>
        </xdr:txBody>
      </xdr:sp>
      <xdr:sp macro="" textlink="">
        <xdr:nvSpPr>
          <xdr:cNvPr id="105" name="橢圓​​ 104" descr="5">
            <a:extLst>
              <a:ext uri="{FF2B5EF4-FFF2-40B4-BE49-F238E27FC236}">
                <a16:creationId xmlns:a16="http://schemas.microsoft.com/office/drawing/2014/main" id="{00000000-0008-0000-0700-000069000000}"/>
              </a:ext>
            </a:extLst>
          </xdr:cNvPr>
          <xdr:cNvSpPr/>
        </xdr:nvSpPr>
        <xdr:spPr>
          <a:xfrm>
            <a:off x="565124" y="3274827"/>
            <a:ext cx="369206" cy="381112"/>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58</xdr:row>
      <xdr:rowOff>0</xdr:rowOff>
    </xdr:to>
    <xdr:grpSp>
      <xdr:nvGrpSpPr>
        <xdr:cNvPr id="7" name="下拉式清單的最佳做法：使用表格。" descr="Best practice for drop-downs: Use a table.&#10;We just taught you how to insert a drop-down menu for the list of departments. But what if that list changes? For example, what if there is a new department called Dairy? You’d have to update the data validation dialog box. But there’s a more efficient way by creating a table first:&#10;In column F, click a cell with a department. For example, click Meat. &#10;Create a table by pressing Ctrl and T Key and then OK.&#10;Now you’ll set up the data validation again. In column D, select all of the blank cells under Department.&#10;On the Data tab, click Data Validation. Under Allow, click List. &#10;Click inside the Source box, then click the up arrow button&#10;Click and drag to select just the Produce, Meat and Bakery cells in column F. Then click the down arrow button &#10;You should see this in the Source box: =$F$32:$F$34. (If you don’t see that you can type it in.) Click OK.&#10;Now click the drop-down arrow. There are only three departments: Produce, Meat and Bakery. But if you add a new department in column F under Bakery, it will get updated with the new department">
          <a:extLst>
            <a:ext uri="{FF2B5EF4-FFF2-40B4-BE49-F238E27FC236}">
              <a16:creationId xmlns:a16="http://schemas.microsoft.com/office/drawing/2014/main" id="{00000000-0008-0000-0700-000007000000}"/>
            </a:ext>
          </a:extLst>
        </xdr:cNvPr>
        <xdr:cNvGrpSpPr/>
      </xdr:nvGrpSpPr>
      <xdr:grpSpPr>
        <a:xfrm>
          <a:off x="390525" y="5524500"/>
          <a:ext cx="5778500" cy="6096000"/>
          <a:chOff x="390525" y="6036469"/>
          <a:chExt cx="5693569" cy="6096000"/>
        </a:xfrm>
      </xdr:grpSpPr>
      <xdr:sp macro="" textlink="">
        <xdr:nvSpPr>
          <xdr:cNvPr id="118" name="矩形 117" descr="背景">
            <a:extLst>
              <a:ext uri="{FF2B5EF4-FFF2-40B4-BE49-F238E27FC236}">
                <a16:creationId xmlns:a16="http://schemas.microsoft.com/office/drawing/2014/main" id="{00000000-0008-0000-0700-000076000000}"/>
              </a:ext>
            </a:extLst>
          </xdr:cNvPr>
          <xdr:cNvSpPr/>
        </xdr:nvSpPr>
        <xdr:spPr>
          <a:xfrm>
            <a:off x="390525" y="6036469"/>
            <a:ext cx="5693569" cy="6096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19" name="步驟" descr="下拉式清單的最佳做法：使用表格">
            <a:extLst>
              <a:ext uri="{FF2B5EF4-FFF2-40B4-BE49-F238E27FC236}">
                <a16:creationId xmlns:a16="http://schemas.microsoft.com/office/drawing/2014/main" id="{00000000-0008-0000-0700-000077000000}"/>
              </a:ext>
            </a:extLst>
          </xdr:cNvPr>
          <xdr:cNvSpPr txBox="1"/>
        </xdr:nvSpPr>
        <xdr:spPr>
          <a:xfrm>
            <a:off x="622273" y="6164692"/>
            <a:ext cx="5214170"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kern="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下拉式清單的最佳做法：使用表格。</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0" name="直線接點 119" descr="裝飾線條">
            <a:extLst>
              <a:ext uri="{FF2B5EF4-FFF2-40B4-BE49-F238E27FC236}">
                <a16:creationId xmlns:a16="http://schemas.microsoft.com/office/drawing/2014/main" id="{00000000-0008-0000-0700-000078000000}"/>
              </a:ext>
            </a:extLst>
          </xdr:cNvPr>
          <xdr:cNvCxnSpPr>
            <a:cxnSpLocks/>
          </xdr:cNvCxnSpPr>
        </xdr:nvCxnSpPr>
        <xdr:spPr>
          <a:xfrm>
            <a:off x="625449" y="6672105"/>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步驟" descr="我們剛才教您如何插入部門清單的下拉式功能表，但如果清單有異動，該怎麼辦？例如，如果有一個名為「乳製品」的新部門，該怎麼做？您必須更新 [資料驗證] 對話方塊，但有個更有效率的方式，就是先建立表格：">
            <a:extLst>
              <a:ext uri="{FF2B5EF4-FFF2-40B4-BE49-F238E27FC236}">
                <a16:creationId xmlns:a16="http://schemas.microsoft.com/office/drawing/2014/main" id="{00000000-0008-0000-0700-000079000000}"/>
              </a:ext>
            </a:extLst>
          </xdr:cNvPr>
          <xdr:cNvSpPr txBox="1"/>
        </xdr:nvSpPr>
        <xdr:spPr>
          <a:xfrm>
            <a:off x="619125" y="6745715"/>
            <a:ext cx="5205317"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我們剛才教您如何插入部門清單的下拉式功能表，但如果清單有異動，該怎麼辦？例如，如果有一個名為「乳製品」的新部門，該怎麼做？您必須更新 [資料驗證] 對話方塊，但有個更有效率的方式，就是先建立表格：</a:t>
            </a:r>
          </a:p>
        </xdr:txBody>
      </xdr:sp>
      <xdr:sp macro="" textlink="">
        <xdr:nvSpPr>
          <xdr:cNvPr id="122" name="步驟" descr="在欄 G 中，按一下包含部門的儲存格。例如，按一下 [肉品]">
            <a:extLst>
              <a:ext uri="{FF2B5EF4-FFF2-40B4-BE49-F238E27FC236}">
                <a16:creationId xmlns:a16="http://schemas.microsoft.com/office/drawing/2014/main" id="{00000000-0008-0000-0700-00007A000000}"/>
              </a:ext>
            </a:extLst>
          </xdr:cNvPr>
          <xdr:cNvSpPr txBox="1"/>
        </xdr:nvSpPr>
        <xdr:spPr>
          <a:xfrm>
            <a:off x="1026927" y="7674711"/>
            <a:ext cx="4809516" cy="447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在欄 F 中，按一下包含部門的儲存格。例如，按一下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[肉品]。 </a:t>
            </a:r>
          </a:p>
        </xdr:txBody>
      </xdr:sp>
      <xdr:sp macro="" textlink="">
        <xdr:nvSpPr>
          <xdr:cNvPr id="123" name="橢圓​​ 122" descr="1">
            <a:extLst>
              <a:ext uri="{FF2B5EF4-FFF2-40B4-BE49-F238E27FC236}">
                <a16:creationId xmlns:a16="http://schemas.microsoft.com/office/drawing/2014/main" id="{00000000-0008-0000-0700-00007B000000}"/>
              </a:ext>
            </a:extLst>
          </xdr:cNvPr>
          <xdr:cNvSpPr/>
        </xdr:nvSpPr>
        <xdr:spPr>
          <a:xfrm>
            <a:off x="622274" y="763221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24" name="步驟" descr="現在，按一下下拉式箭號，只會有三個部門：[農產品]、[肉品] 和 [烘焙]。但如果您在欄 F 的 [烘焙] 底下加入新部門，系統就會以新部門更新表格">
            <a:extLst>
              <a:ext uri="{FF2B5EF4-FFF2-40B4-BE49-F238E27FC236}">
                <a16:creationId xmlns:a16="http://schemas.microsoft.com/office/drawing/2014/main" id="{00000000-0008-0000-0700-00007C000000}"/>
              </a:ext>
            </a:extLst>
          </xdr:cNvPr>
          <xdr:cNvSpPr txBox="1"/>
        </xdr:nvSpPr>
        <xdr:spPr>
          <a:xfrm>
            <a:off x="1026926" y="11165780"/>
            <a:ext cx="4809517" cy="6388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現在，按一下下拉式箭號，只會有三個部門：[農產品]、[肉品] 和 [烘焙]。但如果您在欄 F 的 [烘焙] 底下加入新部門，系統就會以新部門更新表格。</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5" name="橢圓​​ 124" descr="8">
            <a:extLst>
              <a:ext uri="{FF2B5EF4-FFF2-40B4-BE49-F238E27FC236}">
                <a16:creationId xmlns:a16="http://schemas.microsoft.com/office/drawing/2014/main" id="{00000000-0008-0000-0700-00007D000000}"/>
              </a:ext>
            </a:extLst>
          </xdr:cNvPr>
          <xdr:cNvSpPr/>
        </xdr:nvSpPr>
        <xdr:spPr>
          <a:xfrm>
            <a:off x="622274" y="1120900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8</a:t>
            </a:r>
          </a:p>
        </xdr:txBody>
      </xdr:sp>
      <xdr:sp macro="" textlink="">
        <xdr:nvSpPr>
          <xdr:cNvPr id="126" name="步驟" descr="按 Ctrl 和 T 鍵，然後按 [確定] 來建立表格">
            <a:extLst>
              <a:ext uri="{FF2B5EF4-FFF2-40B4-BE49-F238E27FC236}">
                <a16:creationId xmlns:a16="http://schemas.microsoft.com/office/drawing/2014/main" id="{00000000-0008-0000-0700-00007E000000}"/>
              </a:ext>
            </a:extLst>
          </xdr:cNvPr>
          <xdr:cNvSpPr txBox="1"/>
        </xdr:nvSpPr>
        <xdr:spPr>
          <a:xfrm>
            <a:off x="1026927" y="8149149"/>
            <a:ext cx="4809516" cy="468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 </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 </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來建立表格。</a:t>
            </a:r>
          </a:p>
        </xdr:txBody>
      </xdr:sp>
      <xdr:sp macro="" textlink="">
        <xdr:nvSpPr>
          <xdr:cNvPr id="127" name="橢圓​​ 126" descr="2">
            <a:extLst>
              <a:ext uri="{FF2B5EF4-FFF2-40B4-BE49-F238E27FC236}">
                <a16:creationId xmlns:a16="http://schemas.microsoft.com/office/drawing/2014/main" id="{00000000-0008-0000-0700-00007F000000}"/>
              </a:ext>
            </a:extLst>
          </xdr:cNvPr>
          <xdr:cNvSpPr/>
        </xdr:nvSpPr>
        <xdr:spPr>
          <a:xfrm>
            <a:off x="622274" y="8106651"/>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28" name="步驟" descr="您現在將會再次設定資料驗證。在欄 D 中，選取 [部門] 底下的所有空白儲存格">
            <a:extLst>
              <a:ext uri="{FF2B5EF4-FFF2-40B4-BE49-F238E27FC236}">
                <a16:creationId xmlns:a16="http://schemas.microsoft.com/office/drawing/2014/main" id="{00000000-0008-0000-0700-000080000000}"/>
              </a:ext>
            </a:extLst>
          </xdr:cNvPr>
          <xdr:cNvSpPr txBox="1"/>
        </xdr:nvSpPr>
        <xdr:spPr>
          <a:xfrm>
            <a:off x="1026927" y="8638134"/>
            <a:ext cx="4809516" cy="503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您現在將會再次設定資料驗證。在欄 D 中，選取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[部門]</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底下的所有空白儲存格。</a:t>
            </a:r>
            <a:endParaRPr lang="en-US"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9" name="橢圓​​ 128" descr="3">
            <a:extLst>
              <a:ext uri="{FF2B5EF4-FFF2-40B4-BE49-F238E27FC236}">
                <a16:creationId xmlns:a16="http://schemas.microsoft.com/office/drawing/2014/main" id="{00000000-0008-0000-0700-000081000000}"/>
              </a:ext>
            </a:extLst>
          </xdr:cNvPr>
          <xdr:cNvSpPr/>
        </xdr:nvSpPr>
        <xdr:spPr>
          <a:xfrm>
            <a:off x="622274" y="8595636"/>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cxnSp macro="">
        <xdr:nvCxnSpPr>
          <xdr:cNvPr id="130" name="直線接點 129" descr="裝飾線條">
            <a:extLst>
              <a:ext uri="{FF2B5EF4-FFF2-40B4-BE49-F238E27FC236}">
                <a16:creationId xmlns:a16="http://schemas.microsoft.com/office/drawing/2014/main" id="{00000000-0008-0000-0700-000082000000}"/>
              </a:ext>
            </a:extLst>
          </xdr:cNvPr>
          <xdr:cNvCxnSpPr>
            <a:cxnSpLocks/>
          </xdr:cNvCxnSpPr>
        </xdr:nvCxnSpPr>
        <xdr:spPr>
          <a:xfrm>
            <a:off x="625449" y="11928773"/>
            <a:ext cx="521099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8" name="步驟" descr="在 [資料] 索引標籤上，按一下 [資料驗證]。按一下 [允許] 底下的 [清單]">
            <a:extLst>
              <a:ext uri="{FF2B5EF4-FFF2-40B4-BE49-F238E27FC236}">
                <a16:creationId xmlns:a16="http://schemas.microsoft.com/office/drawing/2014/main" id="{00000000-0008-0000-0700-00006C000000}"/>
              </a:ext>
            </a:extLst>
          </xdr:cNvPr>
          <xdr:cNvSpPr txBox="1"/>
        </xdr:nvSpPr>
        <xdr:spPr>
          <a:xfrm>
            <a:off x="1026927" y="9147746"/>
            <a:ext cx="4809516" cy="489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[資料驗證]。</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[允許]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底下的</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[清單]。 </a:t>
            </a:r>
          </a:p>
        </xdr:txBody>
      </xdr:sp>
      <xdr:sp macro="" textlink="">
        <xdr:nvSpPr>
          <xdr:cNvPr id="109" name="橢圓​​ 108" descr="4">
            <a:extLst>
              <a:ext uri="{FF2B5EF4-FFF2-40B4-BE49-F238E27FC236}">
                <a16:creationId xmlns:a16="http://schemas.microsoft.com/office/drawing/2014/main" id="{00000000-0008-0000-0700-00006D000000}"/>
              </a:ext>
            </a:extLst>
          </xdr:cNvPr>
          <xdr:cNvSpPr/>
        </xdr:nvSpPr>
        <xdr:spPr>
          <a:xfrm>
            <a:off x="622274" y="9105247"/>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0" name="步驟" descr="在 [來源] 方塊內按一下，然後按一下向上箭號按鈕">
            <a:extLst>
              <a:ext uri="{FF2B5EF4-FFF2-40B4-BE49-F238E27FC236}">
                <a16:creationId xmlns:a16="http://schemas.microsoft.com/office/drawing/2014/main" id="{00000000-0008-0000-0700-00006E000000}"/>
              </a:ext>
            </a:extLst>
          </xdr:cNvPr>
          <xdr:cNvSpPr txBox="1"/>
        </xdr:nvSpPr>
        <xdr:spPr>
          <a:xfrm>
            <a:off x="1026927" y="9655931"/>
            <a:ext cx="4809516" cy="4858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方塊內按一下，然後按一下向上箭號按鈕</a:t>
            </a:r>
          </a:p>
        </xdr:txBody>
      </xdr:sp>
      <xdr:sp macro="" textlink="">
        <xdr:nvSpPr>
          <xdr:cNvPr id="111" name="橢圓​​ 110" descr="5">
            <a:extLst>
              <a:ext uri="{FF2B5EF4-FFF2-40B4-BE49-F238E27FC236}">
                <a16:creationId xmlns:a16="http://schemas.microsoft.com/office/drawing/2014/main" id="{00000000-0008-0000-0700-00006F000000}"/>
              </a:ext>
            </a:extLst>
          </xdr:cNvPr>
          <xdr:cNvSpPr/>
        </xdr:nvSpPr>
        <xdr:spPr>
          <a:xfrm>
            <a:off x="622274" y="9613432"/>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12" name="步驟" descr="按一下並拖曳以在欄 F 中選取 [農產品]、[肉品] 和 [烘焙] 儲存格，然後按一下向下箭號按鈕 ">
            <a:extLst>
              <a:ext uri="{FF2B5EF4-FFF2-40B4-BE49-F238E27FC236}">
                <a16:creationId xmlns:a16="http://schemas.microsoft.com/office/drawing/2014/main" id="{00000000-0008-0000-0700-000070000000}"/>
              </a:ext>
            </a:extLst>
          </xdr:cNvPr>
          <xdr:cNvSpPr txBox="1"/>
        </xdr:nvSpPr>
        <xdr:spPr>
          <a:xfrm>
            <a:off x="1026927" y="10078871"/>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按一下並拖曳以在欄 F 中選取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[農產品]、[肉品]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和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[烘焙]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儲存格，然後按一下向下箭號按鈕 </a:t>
            </a:r>
          </a:p>
        </xdr:txBody>
      </xdr:sp>
      <xdr:sp macro="" textlink="">
        <xdr:nvSpPr>
          <xdr:cNvPr id="113" name="橢圓​​ 112" descr="6">
            <a:extLst>
              <a:ext uri="{FF2B5EF4-FFF2-40B4-BE49-F238E27FC236}">
                <a16:creationId xmlns:a16="http://schemas.microsoft.com/office/drawing/2014/main" id="{00000000-0008-0000-0700-000071000000}"/>
              </a:ext>
            </a:extLst>
          </xdr:cNvPr>
          <xdr:cNvSpPr/>
        </xdr:nvSpPr>
        <xdr:spPr>
          <a:xfrm>
            <a:off x="622274" y="10103048"/>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sp macro="" textlink="">
        <xdr:nvSpPr>
          <xdr:cNvPr id="114" name="步驟" descr="您應該會在 [來源] 方塊中看到以下內容：=$F$32:$F$34 (如果您沒有看到這些內容，可以自行輸入)。按一下 [確定]">
            <a:extLst>
              <a:ext uri="{FF2B5EF4-FFF2-40B4-BE49-F238E27FC236}">
                <a16:creationId xmlns:a16="http://schemas.microsoft.com/office/drawing/2014/main" id="{00000000-0008-0000-0700-000072000000}"/>
              </a:ext>
            </a:extLst>
          </xdr:cNvPr>
          <xdr:cNvSpPr txBox="1"/>
        </xdr:nvSpPr>
        <xdr:spPr>
          <a:xfrm>
            <a:off x="1026927" y="10644937"/>
            <a:ext cx="4809516" cy="5255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您應該會在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[來源]</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方塊中看到以下內容：</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=$F$32:$F$34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(如果您沒有看到這些內容，可以自行輸入)。按一下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115" name="橢圓​​ 114" descr="7">
            <a:extLst>
              <a:ext uri="{FF2B5EF4-FFF2-40B4-BE49-F238E27FC236}">
                <a16:creationId xmlns:a16="http://schemas.microsoft.com/office/drawing/2014/main" id="{00000000-0008-0000-0700-000073000000}"/>
              </a:ext>
            </a:extLst>
          </xdr:cNvPr>
          <xdr:cNvSpPr/>
        </xdr:nvSpPr>
        <xdr:spPr>
          <a:xfrm>
            <a:off x="622274" y="10688163"/>
            <a:ext cx="369206"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7</a:t>
            </a:r>
          </a:p>
        </xdr:txBody>
      </xdr:sp>
      <xdr:sp macro="" textlink="">
        <xdr:nvSpPr>
          <xdr:cNvPr id="116" name="矩形​​：圓角 115" descr="Ctrl 鍵">
            <a:extLst>
              <a:ext uri="{FF2B5EF4-FFF2-40B4-BE49-F238E27FC236}">
                <a16:creationId xmlns:a16="http://schemas.microsoft.com/office/drawing/2014/main" id="{00000000-0008-0000-0700-000074000000}"/>
              </a:ext>
            </a:extLst>
          </xdr:cNvPr>
          <xdr:cNvSpPr/>
        </xdr:nvSpPr>
        <xdr:spPr>
          <a:xfrm>
            <a:off x="1318934" y="8171267"/>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7" name="矩形​​：圓角 116" descr="T 鍵">
            <a:extLst>
              <a:ext uri="{FF2B5EF4-FFF2-40B4-BE49-F238E27FC236}">
                <a16:creationId xmlns:a16="http://schemas.microsoft.com/office/drawing/2014/main" id="{00000000-0008-0000-0700-000075000000}"/>
              </a:ext>
            </a:extLst>
          </xdr:cNvPr>
          <xdr:cNvSpPr/>
        </xdr:nvSpPr>
        <xdr:spPr>
          <a:xfrm>
            <a:off x="1863336" y="8171267"/>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T</a:t>
            </a:r>
          </a:p>
        </xdr:txBody>
      </xdr:sp>
      <xdr:pic>
        <xdr:nvPicPr>
          <xdr:cNvPr id="4" name="圖片 3" descr="編輯參照按鈕">
            <a:extLst>
              <a:ext uri="{FF2B5EF4-FFF2-40B4-BE49-F238E27FC236}">
                <a16:creationId xmlns:a16="http://schemas.microsoft.com/office/drawing/2014/main" id="{00000000-0008-0000-0700-000004000000}"/>
              </a:ext>
            </a:extLst>
          </xdr:cNvPr>
          <xdr:cNvPicPr>
            <a:picLocks noChangeAspect="1"/>
          </xdr:cNvPicPr>
        </xdr:nvPicPr>
        <xdr:blipFill rotWithShape="1">
          <a:blip xmlns:r="http://schemas.openxmlformats.org/officeDocument/2006/relationships" r:embed="rId3"/>
          <a:srcRect l="14712" t="24591" r="18206" b="23984"/>
          <a:stretch/>
        </xdr:blipFill>
        <xdr:spPr>
          <a:xfrm>
            <a:off x="4251847" y="9732513"/>
            <a:ext cx="204439" cy="181207"/>
          </a:xfrm>
          <a:prstGeom prst="rect">
            <a:avLst/>
          </a:prstGeom>
        </xdr:spPr>
      </xdr:pic>
      <xdr:pic>
        <xdr:nvPicPr>
          <xdr:cNvPr id="5" name="圖片 4" descr="關閉參照編輯">
            <a:extLst>
              <a:ext uri="{FF2B5EF4-FFF2-40B4-BE49-F238E27FC236}">
                <a16:creationId xmlns:a16="http://schemas.microsoft.com/office/drawing/2014/main" id="{00000000-0008-0000-0700-000005000000}"/>
              </a:ext>
            </a:extLst>
          </xdr:cNvPr>
          <xdr:cNvPicPr>
            <a:picLocks noChangeAspect="1"/>
          </xdr:cNvPicPr>
        </xdr:nvPicPr>
        <xdr:blipFill rotWithShape="1">
          <a:blip xmlns:r="http://schemas.openxmlformats.org/officeDocument/2006/relationships" r:embed="rId4"/>
          <a:srcRect l="20783" t="7697" r="13466" b="19960"/>
          <a:stretch/>
        </xdr:blipFill>
        <xdr:spPr>
          <a:xfrm>
            <a:off x="2172457" y="10398594"/>
            <a:ext cx="206644" cy="184043"/>
          </a:xfrm>
          <a:prstGeom prst="rect">
            <a:avLst/>
          </a:prstGeom>
        </xdr:spPr>
      </xdr:pic>
    </xdr:grpSp>
    <xdr:clientData/>
  </xdr:twoCellAnchor>
  <xdr:twoCellAnchor editAs="oneCell">
    <xdr:from>
      <xdr:col>4</xdr:col>
      <xdr:colOff>657225</xdr:colOff>
      <xdr:row>33</xdr:row>
      <xdr:rowOff>83980</xdr:rowOff>
    </xdr:from>
    <xdr:to>
      <xdr:col>8</xdr:col>
      <xdr:colOff>3174</xdr:colOff>
      <xdr:row>43</xdr:row>
      <xdr:rowOff>47625</xdr:rowOff>
    </xdr:to>
    <xdr:grpSp>
      <xdr:nvGrpSpPr>
        <xdr:cNvPr id="8" name="群組 7" descr="EXPERT TIP&#10;Often people put their validation lists like this out of the way on another sheet. That way others won't be tempted to change the list">
          <a:extLst>
            <a:ext uri="{FF2B5EF4-FFF2-40B4-BE49-F238E27FC236}">
              <a16:creationId xmlns:a16="http://schemas.microsoft.com/office/drawing/2014/main" id="{2AF5B3F9-EEED-4EA5-9B9D-98766FAF035D}"/>
            </a:ext>
          </a:extLst>
        </xdr:cNvPr>
        <xdr:cNvGrpSpPr/>
      </xdr:nvGrpSpPr>
      <xdr:grpSpPr>
        <a:xfrm>
          <a:off x="9220200" y="6941980"/>
          <a:ext cx="2708274" cy="1868645"/>
          <a:chOff x="8591550" y="7361080"/>
          <a:chExt cx="2447924" cy="1868645"/>
        </a:xfrm>
      </xdr:grpSpPr>
      <xdr:sp macro="" textlink="">
        <xdr:nvSpPr>
          <xdr:cNvPr id="134" name="弧線 133" descr="箭號">
            <a:extLst>
              <a:ext uri="{FF2B5EF4-FFF2-40B4-BE49-F238E27FC236}">
                <a16:creationId xmlns:a16="http://schemas.microsoft.com/office/drawing/2014/main" id="{00000000-0008-0000-0700-000086000000}"/>
              </a:ext>
            </a:extLst>
          </xdr:cNvPr>
          <xdr:cNvSpPr/>
        </xdr:nvSpPr>
        <xdr:spPr>
          <a:xfrm rot="1327063">
            <a:off x="9246387" y="7361080"/>
            <a:ext cx="986817" cy="833071"/>
          </a:xfrm>
          <a:prstGeom prst="arc">
            <a:avLst>
              <a:gd name="adj1" fmla="val 14387296"/>
              <a:gd name="adj2" fmla="val 3629369"/>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pic>
        <xdr:nvPicPr>
          <xdr:cNvPr id="136" name="圖形 2" descr="貓頭鷹">
            <a:extLst>
              <a:ext uri="{FF2B5EF4-FFF2-40B4-BE49-F238E27FC236}">
                <a16:creationId xmlns:a16="http://schemas.microsoft.com/office/drawing/2014/main" id="{00000000-0008-0000-0700-000088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591550" y="8075784"/>
            <a:ext cx="444647" cy="444647"/>
          </a:xfrm>
          <a:prstGeom prst="rect">
            <a:avLst/>
          </a:prstGeom>
        </xdr:spPr>
      </xdr:pic>
      <xdr:sp macro="" textlink="">
        <xdr:nvSpPr>
          <xdr:cNvPr id="137" name="步驟" descr="EXPERT TIP&#10;Often people put their validation lists like this out of the way on another sheet. That way others won't be tempted to change the list">
            <a:extLst>
              <a:ext uri="{FF2B5EF4-FFF2-40B4-BE49-F238E27FC236}">
                <a16:creationId xmlns:a16="http://schemas.microsoft.com/office/drawing/2014/main" id="{00000000-0008-0000-0700-000089000000}"/>
              </a:ext>
            </a:extLst>
          </xdr:cNvPr>
          <xdr:cNvSpPr txBox="1"/>
        </xdr:nvSpPr>
        <xdr:spPr>
          <a:xfrm>
            <a:off x="8924927" y="8048625"/>
            <a:ext cx="2114547" cy="1181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專家級祕訣</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使用者通常會將驗證清單放在另一個工作表，這樣其他人就不會想變更清單。</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4</xdr:col>
      <xdr:colOff>638175</xdr:colOff>
      <xdr:row>1</xdr:row>
      <xdr:rowOff>85725</xdr:rowOff>
    </xdr:from>
    <xdr:to>
      <xdr:col>8</xdr:col>
      <xdr:colOff>174625</xdr:colOff>
      <xdr:row>15</xdr:row>
      <xdr:rowOff>104775</xdr:rowOff>
    </xdr:to>
    <xdr:grpSp>
      <xdr:nvGrpSpPr>
        <xdr:cNvPr id="6" name="群組 5"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10;">
          <a:extLst>
            <a:ext uri="{FF2B5EF4-FFF2-40B4-BE49-F238E27FC236}">
              <a16:creationId xmlns:a16="http://schemas.microsoft.com/office/drawing/2014/main" id="{7ED50FD9-FB74-4E6E-A9E0-3ECD4AF03D09}"/>
            </a:ext>
          </a:extLst>
        </xdr:cNvPr>
        <xdr:cNvGrpSpPr/>
      </xdr:nvGrpSpPr>
      <xdr:grpSpPr>
        <a:xfrm>
          <a:off x="9201150" y="847725"/>
          <a:ext cx="2898775" cy="2686050"/>
          <a:chOff x="8572500" y="847725"/>
          <a:chExt cx="2495550" cy="2933700"/>
        </a:xfrm>
      </xdr:grpSpPr>
      <xdr:sp macro="" textlink="">
        <xdr:nvSpPr>
          <xdr:cNvPr id="142" name="步驟" descr="GOOD TO KNOW&#10;Drop-down lists help ensure people enter valid data. So it makes sense that drop-downs are a part of a larger group of features known as data validation. &#10;&#10;There are other data validation methods. For example, you can restrict entry to whole numbers, dates, or even minimum and maximum amounts. There are many options available, and you can read more about them by clicking the link at the bottom of this sheet">
            <a:extLst>
              <a:ext uri="{FF2B5EF4-FFF2-40B4-BE49-F238E27FC236}">
                <a16:creationId xmlns:a16="http://schemas.microsoft.com/office/drawing/2014/main" id="{00000000-0008-0000-0700-00008E000000}"/>
              </a:ext>
            </a:extLst>
          </xdr:cNvPr>
          <xdr:cNvSpPr txBox="1"/>
        </xdr:nvSpPr>
        <xdr:spPr>
          <a:xfrm>
            <a:off x="8886093" y="882732"/>
            <a:ext cx="2181957" cy="2898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下拉式清單可協助確保人員輸入有效的資料。因此</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，將下拉式清單納入大型功能群組 (稱為</a:t>
            </a: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[資料驗證]) </a:t>
            </a:r>
            <a:r>
              <a:rPr lang="zh-tw" sz="1100" b="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是很適合的做法。 </a:t>
            </a:r>
          </a:p>
          <a:p>
            <a:pPr lvl="0" rtl="0">
              <a:defRPr/>
            </a:pPr>
            <a:endParaRPr lang="en-US"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系統還提供其他資料驗證方法</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。例如，您可以</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限制</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輸入整數、日期或甚至最小值和最大值。有許多選項可供您使用，按一下本工作表底部的連結，就能深入了解這些選項。</a:t>
            </a:r>
            <a:endParaRPr lang="en-US" sz="11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43" name="圖形 147" descr="眼鏡">
            <a:extLst>
              <a:ext uri="{FF2B5EF4-FFF2-40B4-BE49-F238E27FC236}">
                <a16:creationId xmlns:a16="http://schemas.microsoft.com/office/drawing/2014/main" id="{00000000-0008-0000-0700-00008F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72500" y="847725"/>
            <a:ext cx="352533" cy="364990"/>
          </a:xfrm>
          <a:prstGeom prst="rect">
            <a:avLst/>
          </a:prstGeom>
        </xdr:spPr>
      </xdr:pic>
    </xdr:grpSp>
    <xdr:clientData/>
  </xdr:twoCellAnchor>
  <xdr:twoCellAnchor editAs="oneCell">
    <xdr:from>
      <xdr:col>0</xdr:col>
      <xdr:colOff>390525</xdr:colOff>
      <xdr:row>59</xdr:row>
      <xdr:rowOff>9525</xdr:rowOff>
    </xdr:from>
    <xdr:to>
      <xdr:col>1</xdr:col>
      <xdr:colOff>5073650</xdr:colOff>
      <xdr:row>74</xdr:row>
      <xdr:rowOff>157775</xdr:rowOff>
    </xdr:to>
    <xdr:grpSp>
      <xdr:nvGrpSpPr>
        <xdr:cNvPr id="2" name="網路上的更多資訊" descr="More information on the web, contains links to the web&#10;Back to top&#10;Next step">
          <a:extLst>
            <a:ext uri="{FF2B5EF4-FFF2-40B4-BE49-F238E27FC236}">
              <a16:creationId xmlns:a16="http://schemas.microsoft.com/office/drawing/2014/main" id="{00000000-0008-0000-0700-000002000000}"/>
            </a:ext>
          </a:extLst>
        </xdr:cNvPr>
        <xdr:cNvGrpSpPr/>
      </xdr:nvGrpSpPr>
      <xdr:grpSpPr>
        <a:xfrm>
          <a:off x="390525" y="11820525"/>
          <a:ext cx="5778500" cy="3005750"/>
          <a:chOff x="390525" y="12239625"/>
          <a:chExt cx="5695950" cy="3005750"/>
        </a:xfrm>
      </xdr:grpSpPr>
      <xdr:sp macro="" textlink="">
        <xdr:nvSpPr>
          <xdr:cNvPr id="145" name="矩形 144" descr="背景">
            <a:extLst>
              <a:ext uri="{FF2B5EF4-FFF2-40B4-BE49-F238E27FC236}">
                <a16:creationId xmlns:a16="http://schemas.microsoft.com/office/drawing/2014/main" id="{00000000-0008-0000-0700-000091000000}"/>
              </a:ext>
            </a:extLst>
          </xdr:cNvPr>
          <xdr:cNvSpPr/>
        </xdr:nvSpPr>
        <xdr:spPr>
          <a:xfrm>
            <a:off x="390525" y="12239625"/>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6" name="步驟" descr="Web 上的更多資訊">
            <a:extLst>
              <a:ext uri="{FF2B5EF4-FFF2-40B4-BE49-F238E27FC236}">
                <a16:creationId xmlns:a16="http://schemas.microsoft.com/office/drawing/2014/main" id="{00000000-0008-0000-0700-000092000000}"/>
              </a:ext>
            </a:extLst>
          </xdr:cNvPr>
          <xdr:cNvSpPr txBox="1"/>
        </xdr:nvSpPr>
        <xdr:spPr>
          <a:xfrm>
            <a:off x="622273" y="123583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7" name="直線接點 146" descr="裝飾線條">
            <a:extLst>
              <a:ext uri="{FF2B5EF4-FFF2-40B4-BE49-F238E27FC236}">
                <a16:creationId xmlns:a16="http://schemas.microsoft.com/office/drawing/2014/main" id="{00000000-0008-0000-0700-000093000000}"/>
              </a:ext>
            </a:extLst>
          </xdr:cNvPr>
          <xdr:cNvCxnSpPr>
            <a:cxnSpLocks/>
          </xdr:cNvCxnSpPr>
        </xdr:nvCxnSpPr>
        <xdr:spPr>
          <a:xfrm>
            <a:off x="625449" y="128657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8" name="[下一步] 按鈕" descr="回到頁首，附有移至儲存格 A1 的超連結">
            <a:hlinkClick xmlns:r="http://schemas.openxmlformats.org/officeDocument/2006/relationships" r:id="rId9" tooltip="選取以回到此工作表中的儲存格 A1"/>
            <a:extLst>
              <a:ext uri="{FF2B5EF4-FFF2-40B4-BE49-F238E27FC236}">
                <a16:creationId xmlns:a16="http://schemas.microsoft.com/office/drawing/2014/main" id="{00000000-0008-0000-0700-000094000000}"/>
              </a:ext>
            </a:extLst>
          </xdr:cNvPr>
          <xdr:cNvSpPr/>
        </xdr:nvSpPr>
        <xdr:spPr>
          <a:xfrm>
            <a:off x="625449" y="1440972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9" name="直線接點​​ 148" descr="裝飾線條">
            <a:extLst>
              <a:ext uri="{FF2B5EF4-FFF2-40B4-BE49-F238E27FC236}">
                <a16:creationId xmlns:a16="http://schemas.microsoft.com/office/drawing/2014/main" id="{00000000-0008-0000-0700-000095000000}"/>
              </a:ext>
            </a:extLst>
          </xdr:cNvPr>
          <xdr:cNvCxnSpPr>
            <a:cxnSpLocks/>
          </xdr:cNvCxnSpPr>
        </xdr:nvCxnSpPr>
        <xdr:spPr>
          <a:xfrm>
            <a:off x="625449" y="141643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700-000096000000}"/>
              </a:ext>
            </a:extLst>
          </xdr:cNvPr>
          <xdr:cNvSpPr/>
        </xdr:nvSpPr>
        <xdr:spPr>
          <a:xfrm>
            <a:off x="4684395" y="1460022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51" name="步驟" descr="將資料驗證套用到儲存格，附有移至 Web 的超連結">
            <a:hlinkClick xmlns:r="http://schemas.openxmlformats.org/officeDocument/2006/relationships" r:id="rId10" tooltip="選取以從 Web 了解如何將資料驗證套用到儲存格"/>
            <a:extLst>
              <a:ext uri="{FF2B5EF4-FFF2-40B4-BE49-F238E27FC236}">
                <a16:creationId xmlns:a16="http://schemas.microsoft.com/office/drawing/2014/main" id="{00000000-0008-0000-0700-000097000000}"/>
              </a:ext>
            </a:extLst>
          </xdr:cNvPr>
          <xdr:cNvSpPr txBox="1"/>
        </xdr:nvSpPr>
        <xdr:spPr>
          <a:xfrm>
            <a:off x="1029308" y="13034473"/>
            <a:ext cx="2132992"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將資料驗證套用到儲存格</a:t>
            </a:r>
          </a:p>
        </xdr:txBody>
      </xdr:sp>
      <xdr:pic>
        <xdr:nvPicPr>
          <xdr:cNvPr id="152" name="圖形 22" descr="箭號">
            <a:hlinkClick xmlns:r="http://schemas.openxmlformats.org/officeDocument/2006/relationships" r:id="rId10" tooltip="選取以從網路深入了解"/>
            <a:extLst>
              <a:ext uri="{FF2B5EF4-FFF2-40B4-BE49-F238E27FC236}">
                <a16:creationId xmlns:a16="http://schemas.microsoft.com/office/drawing/2014/main" id="{00000000-0008-0000-0700-000098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2939196"/>
            <a:ext cx="454554" cy="448472"/>
          </a:xfrm>
          <a:prstGeom prst="rect">
            <a:avLst/>
          </a:prstGeom>
        </xdr:spPr>
      </xdr:pic>
      <xdr:sp macro="" textlink="">
        <xdr:nvSpPr>
          <xdr:cNvPr id="153" name="步驟" descr="建立下拉式清單，附有移至 Web 的超連結">
            <a:hlinkClick xmlns:r="http://schemas.openxmlformats.org/officeDocument/2006/relationships" r:id="rId13" tooltip="選取以從 Web 了解如何建立下拉式清單"/>
            <a:extLst>
              <a:ext uri="{FF2B5EF4-FFF2-40B4-BE49-F238E27FC236}">
                <a16:creationId xmlns:a16="http://schemas.microsoft.com/office/drawing/2014/main" id="{00000000-0008-0000-0700-000099000000}"/>
              </a:ext>
            </a:extLst>
          </xdr:cNvPr>
          <xdr:cNvSpPr txBox="1"/>
        </xdr:nvSpPr>
        <xdr:spPr>
          <a:xfrm>
            <a:off x="1029308" y="13499080"/>
            <a:ext cx="1675792"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建立下拉式清單</a:t>
            </a:r>
          </a:p>
        </xdr:txBody>
      </xdr:sp>
      <xdr:pic>
        <xdr:nvPicPr>
          <xdr:cNvPr id="154" name="圖形 22" descr="箭號">
            <a:hlinkClick xmlns:r="http://schemas.openxmlformats.org/officeDocument/2006/relationships" r:id="rId13" tooltip="選取以從網路深入了解"/>
            <a:extLst>
              <a:ext uri="{FF2B5EF4-FFF2-40B4-BE49-F238E27FC236}">
                <a16:creationId xmlns:a16="http://schemas.microsoft.com/office/drawing/2014/main" id="{00000000-0008-0000-0700-00009A00000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02028" y="13397050"/>
            <a:ext cx="454554" cy="448472"/>
          </a:xfrm>
          <a:prstGeom prst="rect">
            <a:avLst/>
          </a:prstGeom>
        </xdr:spPr>
      </xdr:pic>
    </xdr:grp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390525</xdr:colOff>
      <xdr:row>26</xdr:row>
      <xdr:rowOff>1</xdr:rowOff>
    </xdr:from>
    <xdr:to>
      <xdr:col>1</xdr:col>
      <xdr:colOff>5073650</xdr:colOff>
      <xdr:row>45</xdr:row>
      <xdr:rowOff>19051</xdr:rowOff>
    </xdr:to>
    <xdr:grpSp>
      <xdr:nvGrpSpPr>
        <xdr:cNvPr id="4" name="快速建立圖表" descr="Quickly make a chart&#10;You can always use the Insert tab and create a chart. But here is another way to make a chart, using the Quick Analysis button. This time though, we'll use the keyboard shortcut:&#10;Click a cell inside the data to the right, and then press Ctrl and Q key.&#10;On the panel that appears, click Charts.&#10;Click the first Clustered… button.&#10;A new clustered column chart appears. Move it anywhere you’d like. Notice that each product has three columns, one for each month of sales">
          <a:extLst>
            <a:ext uri="{FF2B5EF4-FFF2-40B4-BE49-F238E27FC236}">
              <a16:creationId xmlns:a16="http://schemas.microsoft.com/office/drawing/2014/main" id="{00000000-0008-0000-0800-000004000000}"/>
            </a:ext>
          </a:extLst>
        </xdr:cNvPr>
        <xdr:cNvGrpSpPr/>
      </xdr:nvGrpSpPr>
      <xdr:grpSpPr>
        <a:xfrm>
          <a:off x="390525" y="5524501"/>
          <a:ext cx="5778500" cy="3638550"/>
          <a:chOff x="390525" y="5943600"/>
          <a:chExt cx="5695950" cy="3698874"/>
        </a:xfrm>
      </xdr:grpSpPr>
      <xdr:sp macro="" textlink="">
        <xdr:nvSpPr>
          <xdr:cNvPr id="102" name="矩形 101" descr="背景">
            <a:extLst>
              <a:ext uri="{FF2B5EF4-FFF2-40B4-BE49-F238E27FC236}">
                <a16:creationId xmlns:a16="http://schemas.microsoft.com/office/drawing/2014/main" id="{00000000-0008-0000-0800-000066000000}"/>
              </a:ext>
            </a:extLst>
          </xdr:cNvPr>
          <xdr:cNvSpPr/>
        </xdr:nvSpPr>
        <xdr:spPr>
          <a:xfrm>
            <a:off x="390525" y="5943600"/>
            <a:ext cx="5695950" cy="3698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03" name="步驟" descr="快速建立圖表">
            <a:extLst>
              <a:ext uri="{FF2B5EF4-FFF2-40B4-BE49-F238E27FC236}">
                <a16:creationId xmlns:a16="http://schemas.microsoft.com/office/drawing/2014/main" id="{00000000-0008-0000-0800-000067000000}"/>
              </a:ext>
            </a:extLst>
          </xdr:cNvPr>
          <xdr:cNvSpPr txBox="1"/>
        </xdr:nvSpPr>
        <xdr:spPr>
          <a:xfrm>
            <a:off x="622273" y="6071822"/>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快速建立圖表</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4" name="直線接點 103" descr="裝飾線條">
            <a:extLst>
              <a:ext uri="{FF2B5EF4-FFF2-40B4-BE49-F238E27FC236}">
                <a16:creationId xmlns:a16="http://schemas.microsoft.com/office/drawing/2014/main" id="{00000000-0008-0000-0800-000068000000}"/>
              </a:ext>
            </a:extLst>
          </xdr:cNvPr>
          <xdr:cNvCxnSpPr>
            <a:cxnSpLocks/>
          </xdr:cNvCxnSpPr>
        </xdr:nvCxnSpPr>
        <xdr:spPr>
          <a:xfrm>
            <a:off x="625449" y="657923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5" name="直線接點 104" descr="裝飾線條">
            <a:extLst>
              <a:ext uri="{FF2B5EF4-FFF2-40B4-BE49-F238E27FC236}">
                <a16:creationId xmlns:a16="http://schemas.microsoft.com/office/drawing/2014/main" id="{00000000-0008-0000-0800-000069000000}"/>
              </a:ext>
            </a:extLst>
          </xdr:cNvPr>
          <xdr:cNvCxnSpPr>
            <a:cxnSpLocks/>
          </xdr:cNvCxnSpPr>
        </xdr:nvCxnSpPr>
        <xdr:spPr>
          <a:xfrm>
            <a:off x="625449" y="941937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6" name="步驟" descr="您隨時都可以使用 [插入] 索引標籤來建立圖表。但您也可以透過以下方法，使用 [快速分析] 按鈕來建立圖表。不過這次，我們將使用鍵盤快速鍵：">
            <a:extLst>
              <a:ext uri="{FF2B5EF4-FFF2-40B4-BE49-F238E27FC236}">
                <a16:creationId xmlns:a16="http://schemas.microsoft.com/office/drawing/2014/main" id="{00000000-0008-0000-0800-00006A000000}"/>
              </a:ext>
            </a:extLst>
          </xdr:cNvPr>
          <xdr:cNvSpPr txBox="1"/>
        </xdr:nvSpPr>
        <xdr:spPr>
          <a:xfrm>
            <a:off x="619126" y="6652845"/>
            <a:ext cx="5207590" cy="5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您隨時都可以使用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索引標籤來建立圖表</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但您也可以透過以下方法，使用</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[快速分析]</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按鈕來建立圖表。不過這次，我們將使用鍵盤快速鍵：</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7" name="橢圓​​ 106" descr="1">
            <a:extLst>
              <a:ext uri="{FF2B5EF4-FFF2-40B4-BE49-F238E27FC236}">
                <a16:creationId xmlns:a16="http://schemas.microsoft.com/office/drawing/2014/main" id="{00000000-0008-0000-0800-00006B000000}"/>
              </a:ext>
            </a:extLst>
          </xdr:cNvPr>
          <xdr:cNvSpPr/>
        </xdr:nvSpPr>
        <xdr:spPr>
          <a:xfrm>
            <a:off x="622274" y="726522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8" name="步驟" descr="按一下第一個 [群組直條圖] 按鈕">
            <a:extLst>
              <a:ext uri="{FF2B5EF4-FFF2-40B4-BE49-F238E27FC236}">
                <a16:creationId xmlns:a16="http://schemas.microsoft.com/office/drawing/2014/main" id="{00000000-0008-0000-0800-00006C000000}"/>
              </a:ext>
            </a:extLst>
          </xdr:cNvPr>
          <xdr:cNvSpPr txBox="1"/>
        </xdr:nvSpPr>
        <xdr:spPr>
          <a:xfrm>
            <a:off x="1029307" y="8287203"/>
            <a:ext cx="4809517" cy="483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按一下第一個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[群組直條圖]</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9" name="橢圓​​ 108" descr="3">
            <a:extLst>
              <a:ext uri="{FF2B5EF4-FFF2-40B4-BE49-F238E27FC236}">
                <a16:creationId xmlns:a16="http://schemas.microsoft.com/office/drawing/2014/main" id="{00000000-0008-0000-0800-00006D000000}"/>
              </a:ext>
            </a:extLst>
          </xdr:cNvPr>
          <xdr:cNvSpPr/>
        </xdr:nvSpPr>
        <xdr:spPr>
          <a:xfrm>
            <a:off x="622274" y="824470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新的群組直條圖隨即顯示，您可以視需要移動直條圖。請注意，每項產品有三欄，每欄代表各月份的銷售額">
            <a:extLst>
              <a:ext uri="{FF2B5EF4-FFF2-40B4-BE49-F238E27FC236}">
                <a16:creationId xmlns:a16="http://schemas.microsoft.com/office/drawing/2014/main" id="{00000000-0008-0000-0800-00006E000000}"/>
              </a:ext>
            </a:extLst>
          </xdr:cNvPr>
          <xdr:cNvSpPr txBox="1"/>
        </xdr:nvSpPr>
        <xdr:spPr>
          <a:xfrm>
            <a:off x="1029307" y="8751645"/>
            <a:ext cx="4750463" cy="5380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新的群組直條圖隨即顯示，您可以視需要移動直條圖。請注意，每項產品有三欄，每欄代表各月份的銷售額。</a:t>
            </a:r>
          </a:p>
        </xdr:txBody>
      </xdr:sp>
      <xdr:sp macro="" textlink="">
        <xdr:nvSpPr>
          <xdr:cNvPr id="111" name="橢圓​​ 110" descr="4">
            <a:extLst>
              <a:ext uri="{FF2B5EF4-FFF2-40B4-BE49-F238E27FC236}">
                <a16:creationId xmlns:a16="http://schemas.microsoft.com/office/drawing/2014/main" id="{00000000-0008-0000-0800-00006F000000}"/>
              </a:ext>
            </a:extLst>
          </xdr:cNvPr>
          <xdr:cNvSpPr/>
        </xdr:nvSpPr>
        <xdr:spPr>
          <a:xfrm>
            <a:off x="622274" y="878808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2" name="步驟" descr="在隨即出現的面板中，按一下 [圖表]">
            <a:extLst>
              <a:ext uri="{FF2B5EF4-FFF2-40B4-BE49-F238E27FC236}">
                <a16:creationId xmlns:a16="http://schemas.microsoft.com/office/drawing/2014/main" id="{00000000-0008-0000-0800-000070000000}"/>
              </a:ext>
            </a:extLst>
          </xdr:cNvPr>
          <xdr:cNvSpPr txBox="1"/>
        </xdr:nvSpPr>
        <xdr:spPr>
          <a:xfrm>
            <a:off x="1029307" y="7789352"/>
            <a:ext cx="4809517" cy="4781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13" name="橢圓​​ 112" descr="2">
            <a:extLst>
              <a:ext uri="{FF2B5EF4-FFF2-40B4-BE49-F238E27FC236}">
                <a16:creationId xmlns:a16="http://schemas.microsoft.com/office/drawing/2014/main" id="{00000000-0008-0000-0800-000071000000}"/>
              </a:ext>
            </a:extLst>
          </xdr:cNvPr>
          <xdr:cNvSpPr/>
        </xdr:nvSpPr>
        <xdr:spPr>
          <a:xfrm>
            <a:off x="622274" y="7746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97" name="步驟" descr="按一下右側資料內的儲存格，然後按 Ctrl 和 Q 鍵">
            <a:extLst>
              <a:ext uri="{FF2B5EF4-FFF2-40B4-BE49-F238E27FC236}">
                <a16:creationId xmlns:a16="http://schemas.microsoft.com/office/drawing/2014/main" id="{00000000-0008-0000-0800-000061000000}"/>
              </a:ext>
            </a:extLst>
          </xdr:cNvPr>
          <xdr:cNvSpPr txBox="1"/>
        </xdr:nvSpPr>
        <xdr:spPr>
          <a:xfrm>
            <a:off x="1029308" y="7308881"/>
            <a:ext cx="4809516" cy="503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按一下右側資料內的儲存格，然後按</a:t>
            </a:r>
          </a:p>
        </xdr:txBody>
      </xdr:sp>
      <xdr:sp macro="" textlink="">
        <xdr:nvSpPr>
          <xdr:cNvPr id="98" name="橢圓​​ 97" descr="1">
            <a:extLst>
              <a:ext uri="{FF2B5EF4-FFF2-40B4-BE49-F238E27FC236}">
                <a16:creationId xmlns:a16="http://schemas.microsoft.com/office/drawing/2014/main" id="{00000000-0008-0000-0800-000062000000}"/>
              </a:ext>
            </a:extLst>
          </xdr:cNvPr>
          <xdr:cNvSpPr/>
        </xdr:nvSpPr>
        <xdr:spPr>
          <a:xfrm>
            <a:off x="622274" y="726638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0" name="矩形​​：圓角 99" descr="Ctrl 鍵">
            <a:extLst>
              <a:ext uri="{FF2B5EF4-FFF2-40B4-BE49-F238E27FC236}">
                <a16:creationId xmlns:a16="http://schemas.microsoft.com/office/drawing/2014/main" id="{00000000-0008-0000-0800-000064000000}"/>
              </a:ext>
            </a:extLst>
          </xdr:cNvPr>
          <xdr:cNvSpPr/>
        </xdr:nvSpPr>
        <xdr:spPr>
          <a:xfrm>
            <a:off x="3368107" y="7307033"/>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01" name="矩形​​：圓角 100" descr="Q 鍵">
            <a:extLst>
              <a:ext uri="{FF2B5EF4-FFF2-40B4-BE49-F238E27FC236}">
                <a16:creationId xmlns:a16="http://schemas.microsoft.com/office/drawing/2014/main" id="{00000000-0008-0000-0800-000065000000}"/>
              </a:ext>
            </a:extLst>
          </xdr:cNvPr>
          <xdr:cNvSpPr/>
        </xdr:nvSpPr>
        <xdr:spPr>
          <a:xfrm>
            <a:off x="3912509" y="7307033"/>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Q</a:t>
            </a:r>
          </a:p>
        </xdr:txBody>
      </xdr:sp>
    </xdr:grpSp>
    <xdr:clientData/>
  </xdr:twoCellAnchor>
  <xdr:twoCellAnchor editAs="oneCell">
    <xdr:from>
      <xdr:col>0</xdr:col>
      <xdr:colOff>390525</xdr:colOff>
      <xdr:row>45</xdr:row>
      <xdr:rowOff>171451</xdr:rowOff>
    </xdr:from>
    <xdr:to>
      <xdr:col>1</xdr:col>
      <xdr:colOff>5073650</xdr:colOff>
      <xdr:row>66</xdr:row>
      <xdr:rowOff>28575</xdr:rowOff>
    </xdr:to>
    <xdr:grpSp>
      <xdr:nvGrpSpPr>
        <xdr:cNvPr id="3" name="快速建立走勢圖" descr="Quickly make sparklines&#10;Let's say you want little trend lines to the right of this data to show how the amounts go up or down during the three months. You don't have to make 8 little line charts. You can make sparklines instead.&#10;Click a cell inside the data to the right, and then press Ctrl and Q key.&#10;On the panel that appears, click Sparklines, and then click the Line button.&#10;Sparklines appear to the right of the Dec column. Each line represents the data for that row, and shows whether the amounts go up or down.&#10;To clear the sparklines, click and drag to select them. The Sparkline Tools Design tab will appear at the top of the window. Go to that tab, and then click the Clear button">
          <a:extLst>
            <a:ext uri="{FF2B5EF4-FFF2-40B4-BE49-F238E27FC236}">
              <a16:creationId xmlns:a16="http://schemas.microsoft.com/office/drawing/2014/main" id="{00000000-0008-0000-0800-000003000000}"/>
            </a:ext>
          </a:extLst>
        </xdr:cNvPr>
        <xdr:cNvGrpSpPr/>
      </xdr:nvGrpSpPr>
      <xdr:grpSpPr>
        <a:xfrm>
          <a:off x="390525" y="9315451"/>
          <a:ext cx="5778500" cy="3857624"/>
          <a:chOff x="390525" y="9801225"/>
          <a:chExt cx="5695950" cy="3790949"/>
        </a:xfrm>
      </xdr:grpSpPr>
      <xdr:sp macro="" textlink="">
        <xdr:nvSpPr>
          <xdr:cNvPr id="121" name="矩形 120" descr="背景">
            <a:extLst>
              <a:ext uri="{FF2B5EF4-FFF2-40B4-BE49-F238E27FC236}">
                <a16:creationId xmlns:a16="http://schemas.microsoft.com/office/drawing/2014/main" id="{00000000-0008-0000-0800-000079000000}"/>
              </a:ext>
            </a:extLst>
          </xdr:cNvPr>
          <xdr:cNvSpPr/>
        </xdr:nvSpPr>
        <xdr:spPr>
          <a:xfrm>
            <a:off x="390525" y="9801225"/>
            <a:ext cx="5695950" cy="379094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2" name="步驟" descr="快速建立走勢圖">
            <a:extLst>
              <a:ext uri="{FF2B5EF4-FFF2-40B4-BE49-F238E27FC236}">
                <a16:creationId xmlns:a16="http://schemas.microsoft.com/office/drawing/2014/main" id="{00000000-0008-0000-0800-00007A000000}"/>
              </a:ext>
            </a:extLst>
          </xdr:cNvPr>
          <xdr:cNvSpPr txBox="1"/>
        </xdr:nvSpPr>
        <xdr:spPr>
          <a:xfrm>
            <a:off x="622273" y="992944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快速建立走勢圖</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3" name="直線接點 122" descr="裝飾線條">
            <a:extLst>
              <a:ext uri="{FF2B5EF4-FFF2-40B4-BE49-F238E27FC236}">
                <a16:creationId xmlns:a16="http://schemas.microsoft.com/office/drawing/2014/main" id="{00000000-0008-0000-0800-00007B000000}"/>
              </a:ext>
            </a:extLst>
          </xdr:cNvPr>
          <xdr:cNvCxnSpPr>
            <a:cxnSpLocks/>
          </xdr:cNvCxnSpPr>
        </xdr:nvCxnSpPr>
        <xdr:spPr>
          <a:xfrm>
            <a:off x="625449" y="104368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800-00007C000000}"/>
              </a:ext>
            </a:extLst>
          </xdr:cNvPr>
          <xdr:cNvCxnSpPr>
            <a:cxnSpLocks/>
          </xdr:cNvCxnSpPr>
        </xdr:nvCxnSpPr>
        <xdr:spPr>
          <a:xfrm>
            <a:off x="625449" y="1336272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步驟" descr="假設您想根據右側資料建立小型的趨勢線，以顯示銷售額在三個月內的變化情況。您不必建立 8 個小型折線圖，只要建立走勢圖即可">
            <a:extLst>
              <a:ext uri="{FF2B5EF4-FFF2-40B4-BE49-F238E27FC236}">
                <a16:creationId xmlns:a16="http://schemas.microsoft.com/office/drawing/2014/main" id="{00000000-0008-0000-0800-00007D000000}"/>
              </a:ext>
            </a:extLst>
          </xdr:cNvPr>
          <xdr:cNvSpPr txBox="1"/>
        </xdr:nvSpPr>
        <xdr:spPr>
          <a:xfrm>
            <a:off x="619126" y="10510472"/>
            <a:ext cx="5207590" cy="619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假設您想根據右側資料建立小型的趨勢線，以顯示銷售額在三個月內的變化情況。您不必建立 8 個小型折線圖，只要建立走勢圖即可。</a:t>
            </a:r>
          </a:p>
        </xdr:txBody>
      </xdr:sp>
      <xdr:sp macro="" textlink="">
        <xdr:nvSpPr>
          <xdr:cNvPr id="126" name="步驟" descr="走勢圖會出現在 [12 月] 欄的右側。每一條線代表該列的資料，並且會顯示銷售額的變化情形">
            <a:extLst>
              <a:ext uri="{FF2B5EF4-FFF2-40B4-BE49-F238E27FC236}">
                <a16:creationId xmlns:a16="http://schemas.microsoft.com/office/drawing/2014/main" id="{00000000-0008-0000-0800-00007E000000}"/>
              </a:ext>
            </a:extLst>
          </xdr:cNvPr>
          <xdr:cNvSpPr txBox="1"/>
        </xdr:nvSpPr>
        <xdr:spPr>
          <a:xfrm>
            <a:off x="1029307" y="12116911"/>
            <a:ext cx="4809517" cy="4830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走勢圖會出現在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[12 月]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欄的右側。</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每一條線代表該列的資料，並且會顯示銷售額的變化情形。</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7" name="橢圓​​ 126" descr="3">
            <a:extLst>
              <a:ext uri="{FF2B5EF4-FFF2-40B4-BE49-F238E27FC236}">
                <a16:creationId xmlns:a16="http://schemas.microsoft.com/office/drawing/2014/main" id="{00000000-0008-0000-0800-00007F000000}"/>
              </a:ext>
            </a:extLst>
          </xdr:cNvPr>
          <xdr:cNvSpPr/>
        </xdr:nvSpPr>
        <xdr:spPr>
          <a:xfrm>
            <a:off x="622274" y="1207441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28" name="步驟" descr="若要清除走勢圖，請按一下並拖曳來選取走勢圖。視窗頂端會隨即顯示 [走勢圖工具] [設計] 索引標籤。移至該索引標籤，然後按一下 [清除] 按鈕">
            <a:extLst>
              <a:ext uri="{FF2B5EF4-FFF2-40B4-BE49-F238E27FC236}">
                <a16:creationId xmlns:a16="http://schemas.microsoft.com/office/drawing/2014/main" id="{00000000-0008-0000-0800-000080000000}"/>
              </a:ext>
            </a:extLst>
          </xdr:cNvPr>
          <xdr:cNvSpPr txBox="1"/>
        </xdr:nvSpPr>
        <xdr:spPr>
          <a:xfrm>
            <a:off x="1029307" y="12619824"/>
            <a:ext cx="4722296" cy="626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若要清除走勢圖，請按一下並拖曳來選取走勢圖。視窗頂端會隨即顯示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[走勢圖工具] [設計]</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索引標籤。移至該索引標籤，然後按一下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[清除]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按鈕</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29" name="橢圓​​ 128" descr="4">
            <a:extLst>
              <a:ext uri="{FF2B5EF4-FFF2-40B4-BE49-F238E27FC236}">
                <a16:creationId xmlns:a16="http://schemas.microsoft.com/office/drawing/2014/main" id="{00000000-0008-0000-0800-000081000000}"/>
              </a:ext>
            </a:extLst>
          </xdr:cNvPr>
          <xdr:cNvSpPr/>
        </xdr:nvSpPr>
        <xdr:spPr>
          <a:xfrm>
            <a:off x="622274" y="1257732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30" name="步驟" descr="在隨即出現的面板中，按一下 [走勢圖]，然後按一下 [線條] 按鈕">
            <a:extLst>
              <a:ext uri="{FF2B5EF4-FFF2-40B4-BE49-F238E27FC236}">
                <a16:creationId xmlns:a16="http://schemas.microsoft.com/office/drawing/2014/main" id="{00000000-0008-0000-0800-000082000000}"/>
              </a:ext>
            </a:extLst>
          </xdr:cNvPr>
          <xdr:cNvSpPr txBox="1"/>
        </xdr:nvSpPr>
        <xdr:spPr>
          <a:xfrm>
            <a:off x="1029307" y="11657370"/>
            <a:ext cx="4809517" cy="417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[走勢圖]</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折線圖</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按鈕。</a:t>
            </a:r>
          </a:p>
          <a:p>
            <a:pPr rtl="0"/>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1" name="橢圓​​ 130" descr="2">
            <a:extLst>
              <a:ext uri="{FF2B5EF4-FFF2-40B4-BE49-F238E27FC236}">
                <a16:creationId xmlns:a16="http://schemas.microsoft.com/office/drawing/2014/main" id="{00000000-0008-0000-0800-000083000000}"/>
              </a:ext>
            </a:extLst>
          </xdr:cNvPr>
          <xdr:cNvSpPr/>
        </xdr:nvSpPr>
        <xdr:spPr>
          <a:xfrm>
            <a:off x="622274" y="116148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16" name="步驟" descr="按一下右側資料內的儲存格，然後按 Ctrl 和 Q">
            <a:extLst>
              <a:ext uri="{FF2B5EF4-FFF2-40B4-BE49-F238E27FC236}">
                <a16:creationId xmlns:a16="http://schemas.microsoft.com/office/drawing/2014/main" id="{00000000-0008-0000-0800-000074000000}"/>
              </a:ext>
            </a:extLst>
          </xdr:cNvPr>
          <xdr:cNvSpPr txBox="1"/>
        </xdr:nvSpPr>
        <xdr:spPr>
          <a:xfrm>
            <a:off x="1029308" y="11175352"/>
            <a:ext cx="4809516" cy="411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按一下右側資料內的儲存格，然後按</a:t>
            </a:r>
          </a:p>
        </xdr:txBody>
      </xdr:sp>
      <xdr:sp macro="" textlink="">
        <xdr:nvSpPr>
          <xdr:cNvPr id="117" name="橢圓​​ 116" descr="1">
            <a:extLst>
              <a:ext uri="{FF2B5EF4-FFF2-40B4-BE49-F238E27FC236}">
                <a16:creationId xmlns:a16="http://schemas.microsoft.com/office/drawing/2014/main" id="{00000000-0008-0000-0800-000075000000}"/>
              </a:ext>
            </a:extLst>
          </xdr:cNvPr>
          <xdr:cNvSpPr/>
        </xdr:nvSpPr>
        <xdr:spPr>
          <a:xfrm>
            <a:off x="622274" y="1113285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19" name="矩形​​：圓角 118" descr="Ctrl 鍵">
            <a:extLst>
              <a:ext uri="{FF2B5EF4-FFF2-40B4-BE49-F238E27FC236}">
                <a16:creationId xmlns:a16="http://schemas.microsoft.com/office/drawing/2014/main" id="{00000000-0008-0000-0800-000077000000}"/>
              </a:ext>
            </a:extLst>
          </xdr:cNvPr>
          <xdr:cNvSpPr/>
        </xdr:nvSpPr>
        <xdr:spPr>
          <a:xfrm>
            <a:off x="3407431" y="11164659"/>
            <a:ext cx="459442"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Ctrl</a:t>
            </a:r>
            <a:endParaRPr lang="en-US" sz="800" spc="100" baseline="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20" name="矩形​​：圓角 119" descr="Q 鍵">
            <a:extLst>
              <a:ext uri="{FF2B5EF4-FFF2-40B4-BE49-F238E27FC236}">
                <a16:creationId xmlns:a16="http://schemas.microsoft.com/office/drawing/2014/main" id="{00000000-0008-0000-0800-000078000000}"/>
              </a:ext>
            </a:extLst>
          </xdr:cNvPr>
          <xdr:cNvSpPr/>
        </xdr:nvSpPr>
        <xdr:spPr>
          <a:xfrm>
            <a:off x="3951833" y="11164659"/>
            <a:ext cx="466658" cy="2571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900">
                <a:solidFill>
                  <a:schemeClr val="tx1"/>
                </a:solidFill>
                <a:latin typeface="Microsoft JhengHei UI" panose="020B0604030504040204" pitchFamily="34" charset="-120"/>
                <a:ea typeface="Microsoft JhengHei UI" panose="020B0604030504040204" pitchFamily="34" charset="-120"/>
                <a:cs typeface="Segoe UI" panose="020B0502040204020203" pitchFamily="34" charset="0"/>
              </a:rPr>
              <a:t>Q</a:t>
            </a:r>
          </a:p>
        </xdr:txBody>
      </xdr:sp>
    </xdr:grpSp>
    <xdr:clientData/>
  </xdr:twoCellAnchor>
  <xdr:twoCellAnchor editAs="oneCell">
    <xdr:from>
      <xdr:col>0</xdr:col>
      <xdr:colOff>390525</xdr:colOff>
      <xdr:row>67</xdr:row>
      <xdr:rowOff>0</xdr:rowOff>
    </xdr:from>
    <xdr:to>
      <xdr:col>1</xdr:col>
      <xdr:colOff>5073650</xdr:colOff>
      <xdr:row>82</xdr:row>
      <xdr:rowOff>6350</xdr:rowOff>
    </xdr:to>
    <xdr:grpSp>
      <xdr:nvGrpSpPr>
        <xdr:cNvPr id="132" name="網路上的更多資訊" descr="More information on the web, contains links to the web&#10;Back to top&#10;Next step">
          <a:extLst>
            <a:ext uri="{FF2B5EF4-FFF2-40B4-BE49-F238E27FC236}">
              <a16:creationId xmlns:a16="http://schemas.microsoft.com/office/drawing/2014/main" id="{00000000-0008-0000-0800-000084000000}"/>
            </a:ext>
          </a:extLst>
        </xdr:cNvPr>
        <xdr:cNvGrpSpPr/>
      </xdr:nvGrpSpPr>
      <xdr:grpSpPr>
        <a:xfrm>
          <a:off x="390525" y="13335000"/>
          <a:ext cx="5778500" cy="2863850"/>
          <a:chOff x="0" y="1"/>
          <a:chExt cx="5695950" cy="2806700"/>
        </a:xfrm>
      </xdr:grpSpPr>
      <xdr:sp macro="" textlink="">
        <xdr:nvSpPr>
          <xdr:cNvPr id="133" name="矩形 132" descr="背景">
            <a:extLst>
              <a:ext uri="{FF2B5EF4-FFF2-40B4-BE49-F238E27FC236}">
                <a16:creationId xmlns:a16="http://schemas.microsoft.com/office/drawing/2014/main" id="{00000000-0008-0000-0800-000085000000}"/>
              </a:ext>
            </a:extLst>
          </xdr:cNvPr>
          <xdr:cNvSpPr/>
        </xdr:nvSpPr>
        <xdr:spPr>
          <a:xfrm>
            <a:off x="0" y="1"/>
            <a:ext cx="5695950" cy="2806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4" name="步驟" descr="Web 上的更多資訊">
            <a:extLst>
              <a:ext uri="{FF2B5EF4-FFF2-40B4-BE49-F238E27FC236}">
                <a16:creationId xmlns:a16="http://schemas.microsoft.com/office/drawing/2014/main" id="{00000000-0008-0000-0800-000086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5" name="直線接點 134" descr="裝飾線條">
            <a:extLst>
              <a:ext uri="{FF2B5EF4-FFF2-40B4-BE49-F238E27FC236}">
                <a16:creationId xmlns:a16="http://schemas.microsoft.com/office/drawing/2014/main" id="{00000000-0008-0000-0800-000087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6" name="[下一步] 按鈕" descr="回到頁首，附有移至儲存格 A1 的超連結">
            <a:hlinkClick xmlns:r="http://schemas.openxmlformats.org/officeDocument/2006/relationships" r:id="rId1" tooltip="選取以回到此工作表中的儲存格 A1"/>
            <a:extLst>
              <a:ext uri="{FF2B5EF4-FFF2-40B4-BE49-F238E27FC236}">
                <a16:creationId xmlns:a16="http://schemas.microsoft.com/office/drawing/2014/main" id="{00000000-0008-0000-0800-000088000000}"/>
              </a:ext>
            </a:extLst>
          </xdr:cNvPr>
          <xdr:cNvSpPr/>
        </xdr:nvSpPr>
        <xdr:spPr>
          <a:xfrm>
            <a:off x="234924" y="2030413"/>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37" name="直線接點​​ 136" descr="裝飾線條">
            <a:extLst>
              <a:ext uri="{FF2B5EF4-FFF2-40B4-BE49-F238E27FC236}">
                <a16:creationId xmlns:a16="http://schemas.microsoft.com/office/drawing/2014/main" id="{00000000-0008-0000-0800-000089000000}"/>
              </a:ext>
            </a:extLst>
          </xdr:cNvPr>
          <xdr:cNvCxnSpPr>
            <a:cxnSpLocks/>
          </xdr:cNvCxnSpPr>
        </xdr:nvCxnSpPr>
        <xdr:spPr>
          <a:xfrm>
            <a:off x="234924" y="17907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8"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800-00008A000000}"/>
              </a:ext>
            </a:extLst>
          </xdr:cNvPr>
          <xdr:cNvSpPr/>
        </xdr:nvSpPr>
        <xdr:spPr>
          <a:xfrm>
            <a:off x="4293870" y="2220914"/>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39" name="步驟" descr="立即分析資料，附有移至 Web 的超連結">
            <a:hlinkClick xmlns:r="http://schemas.openxmlformats.org/officeDocument/2006/relationships" r:id="rId3" tooltip="選取以從 Web 了解如何立即分析資料"/>
            <a:extLst>
              <a:ext uri="{FF2B5EF4-FFF2-40B4-BE49-F238E27FC236}">
                <a16:creationId xmlns:a16="http://schemas.microsoft.com/office/drawing/2014/main" id="{00000000-0008-0000-0800-00008B000000}"/>
              </a:ext>
            </a:extLst>
          </xdr:cNvPr>
          <xdr:cNvSpPr txBox="1"/>
        </xdr:nvSpPr>
        <xdr:spPr>
          <a:xfrm>
            <a:off x="638782" y="794849"/>
            <a:ext cx="22377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立即分析資料</a:t>
            </a:r>
          </a:p>
        </xdr:txBody>
      </xdr:sp>
      <xdr:pic>
        <xdr:nvPicPr>
          <xdr:cNvPr id="140" name="圖形 22" descr="箭號">
            <a:hlinkClick xmlns:r="http://schemas.openxmlformats.org/officeDocument/2006/relationships" r:id="rId3" tooltip="選取以從網路深入了解"/>
            <a:extLst>
              <a:ext uri="{FF2B5EF4-FFF2-40B4-BE49-F238E27FC236}">
                <a16:creationId xmlns:a16="http://schemas.microsoft.com/office/drawing/2014/main" id="{00000000-0008-0000-0800-00008C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699572"/>
            <a:ext cx="454554" cy="448472"/>
          </a:xfrm>
          <a:prstGeom prst="rect">
            <a:avLst/>
          </a:prstGeom>
        </xdr:spPr>
      </xdr:pic>
      <xdr:sp macro="" textlink="">
        <xdr:nvSpPr>
          <xdr:cNvPr id="141" name="步驟" descr="使用走勢圖分析資料的趨勢，附有移至 Web 的超連結">
            <a:hlinkClick xmlns:r="http://schemas.openxmlformats.org/officeDocument/2006/relationships" r:id="rId6" tooltip="選取以從 Web 了解如何使用走勢圖分析資料的趨勢"/>
            <a:extLst>
              <a:ext uri="{FF2B5EF4-FFF2-40B4-BE49-F238E27FC236}">
                <a16:creationId xmlns:a16="http://schemas.microsoft.com/office/drawing/2014/main" id="{00000000-0008-0000-0800-00008D000000}"/>
              </a:ext>
            </a:extLst>
          </xdr:cNvPr>
          <xdr:cNvSpPr txBox="1"/>
        </xdr:nvSpPr>
        <xdr:spPr>
          <a:xfrm>
            <a:off x="638783" y="1259456"/>
            <a:ext cx="3088868"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使用走勢圖分析資料的趨勢</a:t>
            </a:r>
          </a:p>
          <a:p>
            <a:pPr lvl="0" rtl="0">
              <a:defRPr/>
            </a:pPr>
            <a:endParaRPr lang="en-US"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142" name="圖形 22" descr="箭號">
            <a:hlinkClick xmlns:r="http://schemas.openxmlformats.org/officeDocument/2006/relationships" r:id="rId6" tooltip="選取以從網路深入了解"/>
            <a:extLst>
              <a:ext uri="{FF2B5EF4-FFF2-40B4-BE49-F238E27FC236}">
                <a16:creationId xmlns:a16="http://schemas.microsoft.com/office/drawing/2014/main" id="{00000000-0008-0000-0800-00008E00000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1503" y="1157426"/>
            <a:ext cx="454554" cy="448472"/>
          </a:xfrm>
          <a:prstGeom prst="rect">
            <a:avLst/>
          </a:prstGeom>
        </xdr:spPr>
      </xdr:pic>
    </xdr:grpSp>
    <xdr:clientData/>
  </xdr:twoCellAnchor>
  <xdr:twoCellAnchor editAs="oneCell">
    <xdr:from>
      <xdr:col>0</xdr:col>
      <xdr:colOff>333375</xdr:colOff>
      <xdr:row>0</xdr:row>
      <xdr:rowOff>266700</xdr:rowOff>
    </xdr:from>
    <xdr:to>
      <xdr:col>1</xdr:col>
      <xdr:colOff>5016500</xdr:colOff>
      <xdr:row>20</xdr:row>
      <xdr:rowOff>0</xdr:rowOff>
    </xdr:to>
    <xdr:grpSp>
      <xdr:nvGrpSpPr>
        <xdr:cNvPr id="5" name="快速分析資料" descr="Analyze data quickly&#10;Here’s how to analyze data so that you can spot patterns and trends quickly:&#10;Click and drag to select all cells on the right, and then click this button in the lower-right corner:&#10;On the panel that appears, click Data Bars. The cells under Oct, Nov, and Dec columns get special data bars that visualize their amounts.&#10;Now let's say you want to get rid of the bars. Click this button again:&#10;On the panel that appears, click the Clear Format button on the right.&#10;Dive down for more detail &#10;Next step">
          <a:extLst>
            <a:ext uri="{FF2B5EF4-FFF2-40B4-BE49-F238E27FC236}">
              <a16:creationId xmlns:a16="http://schemas.microsoft.com/office/drawing/2014/main" id="{00000000-0008-0000-0800-000005000000}"/>
            </a:ext>
          </a:extLst>
        </xdr:cNvPr>
        <xdr:cNvGrpSpPr/>
      </xdr:nvGrpSpPr>
      <xdr:grpSpPr>
        <a:xfrm>
          <a:off x="333375" y="266700"/>
          <a:ext cx="5778500" cy="4114800"/>
          <a:chOff x="333375" y="266700"/>
          <a:chExt cx="5695950" cy="4114800"/>
        </a:xfrm>
      </xdr:grpSpPr>
      <xdr:sp macro="" textlink="">
        <xdr:nvSpPr>
          <xdr:cNvPr id="77" name="矩形 76" descr="背景">
            <a:extLst>
              <a:ext uri="{FF2B5EF4-FFF2-40B4-BE49-F238E27FC236}">
                <a16:creationId xmlns:a16="http://schemas.microsoft.com/office/drawing/2014/main" id="{00000000-0008-0000-0800-00004D000000}"/>
              </a:ext>
            </a:extLst>
          </xdr:cNvPr>
          <xdr:cNvSpPr/>
        </xdr:nvSpPr>
        <xdr:spPr>
          <a:xfrm>
            <a:off x="333375" y="266700"/>
            <a:ext cx="5695950" cy="41148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8" name="步驟" descr="快速分析資料">
            <a:extLst>
              <a:ext uri="{FF2B5EF4-FFF2-40B4-BE49-F238E27FC236}">
                <a16:creationId xmlns:a16="http://schemas.microsoft.com/office/drawing/2014/main" id="{00000000-0008-0000-0800-00004E000000}"/>
              </a:ext>
            </a:extLst>
          </xdr:cNvPr>
          <xdr:cNvSpPr txBox="1"/>
        </xdr:nvSpPr>
        <xdr:spPr>
          <a:xfrm>
            <a:off x="565123" y="385397"/>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快速分析資料</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79" name="直線接點 78" descr="裝飾線條">
            <a:extLst>
              <a:ext uri="{FF2B5EF4-FFF2-40B4-BE49-F238E27FC236}">
                <a16:creationId xmlns:a16="http://schemas.microsoft.com/office/drawing/2014/main" id="{00000000-0008-0000-0800-00004F000000}"/>
              </a:ext>
            </a:extLst>
          </xdr:cNvPr>
          <xdr:cNvCxnSpPr>
            <a:cxnSpLocks/>
          </xdr:cNvCxnSpPr>
        </xdr:nvCxnSpPr>
        <xdr:spPr>
          <a:xfrm>
            <a:off x="568299" y="89281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下一步] 按鈕" descr="向下瀏覽以取得更多詳細資料">
            <a:hlinkClick xmlns:r="http://schemas.openxmlformats.org/officeDocument/2006/relationships" r:id="rId7"/>
            <a:extLst>
              <a:ext uri="{FF2B5EF4-FFF2-40B4-BE49-F238E27FC236}">
                <a16:creationId xmlns:a16="http://schemas.microsoft.com/office/drawing/2014/main" id="{00000000-0008-0000-0800-000050000000}"/>
              </a:ext>
            </a:extLst>
          </xdr:cNvPr>
          <xdr:cNvSpPr/>
        </xdr:nvSpPr>
        <xdr:spPr>
          <a:xfrm>
            <a:off x="568299" y="367282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1" name="直線接點 80" descr="裝飾線條">
            <a:extLst>
              <a:ext uri="{FF2B5EF4-FFF2-40B4-BE49-F238E27FC236}">
                <a16:creationId xmlns:a16="http://schemas.microsoft.com/office/drawing/2014/main" id="{00000000-0008-0000-0800-000051000000}"/>
              </a:ext>
            </a:extLst>
          </xdr:cNvPr>
          <xdr:cNvCxnSpPr>
            <a:cxnSpLocks/>
          </xdr:cNvCxnSpPr>
        </xdr:nvCxnSpPr>
        <xdr:spPr>
          <a:xfrm>
            <a:off x="568299" y="3436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2"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800-000052000000}"/>
              </a:ext>
            </a:extLst>
          </xdr:cNvPr>
          <xdr:cNvSpPr/>
        </xdr:nvSpPr>
        <xdr:spPr>
          <a:xfrm>
            <a:off x="4627245" y="367282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3" name="步驟" descr="以下說明如何分析資料，以便快速找出模式和趨勢：">
            <a:extLst>
              <a:ext uri="{FF2B5EF4-FFF2-40B4-BE49-F238E27FC236}">
                <a16:creationId xmlns:a16="http://schemas.microsoft.com/office/drawing/2014/main" id="{00000000-0008-0000-0800-000053000000}"/>
              </a:ext>
            </a:extLst>
          </xdr:cNvPr>
          <xdr:cNvSpPr txBox="1"/>
        </xdr:nvSpPr>
        <xdr:spPr>
          <a:xfrm>
            <a:off x="561975" y="966420"/>
            <a:ext cx="5300938" cy="252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rPr>
              <a:t>以下說明如何分析資料，以便快速找出模式和趨勢：</a:t>
            </a:r>
          </a:p>
        </xdr:txBody>
      </xdr:sp>
      <xdr:sp macro="" textlink="">
        <xdr:nvSpPr>
          <xdr:cNvPr id="84" name="步驟" descr="按一下並拖曳來選取右側的所有儲存格，然後按一下右下角的這個按鈕：">
            <a:extLst>
              <a:ext uri="{FF2B5EF4-FFF2-40B4-BE49-F238E27FC236}">
                <a16:creationId xmlns:a16="http://schemas.microsoft.com/office/drawing/2014/main" id="{00000000-0008-0000-0800-000054000000}"/>
              </a:ext>
            </a:extLst>
          </xdr:cNvPr>
          <xdr:cNvSpPr txBox="1"/>
        </xdr:nvSpPr>
        <xdr:spPr>
          <a:xfrm>
            <a:off x="972158" y="1312533"/>
            <a:ext cx="4809516" cy="478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並拖曳來選取右側的所有儲存格，然後按一下右下角的這個按鈕： </a:t>
            </a: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85" name="橢圓​​ 84" descr="1">
            <a:extLst>
              <a:ext uri="{FF2B5EF4-FFF2-40B4-BE49-F238E27FC236}">
                <a16:creationId xmlns:a16="http://schemas.microsoft.com/office/drawing/2014/main" id="{00000000-0008-0000-0800-000055000000}"/>
              </a:ext>
            </a:extLst>
          </xdr:cNvPr>
          <xdr:cNvSpPr/>
        </xdr:nvSpPr>
        <xdr:spPr>
          <a:xfrm>
            <a:off x="565124" y="127003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在隨即出現的面板中，按一下 [資料橫條]。系統會針對 [10 月]、[11 月] 和 [12 月] 底下的儲存格建立特殊的資料橫條，以視覺化方式呈現金額">
            <a:extLst>
              <a:ext uri="{FF2B5EF4-FFF2-40B4-BE49-F238E27FC236}">
                <a16:creationId xmlns:a16="http://schemas.microsoft.com/office/drawing/2014/main" id="{00000000-0008-0000-0800-000056000000}"/>
              </a:ext>
            </a:extLst>
          </xdr:cNvPr>
          <xdr:cNvSpPr txBox="1"/>
        </xdr:nvSpPr>
        <xdr:spPr>
          <a:xfrm>
            <a:off x="972157" y="1656579"/>
            <a:ext cx="4809517" cy="515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[資料橫條]。</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系統會針對 [10 月]、[11 月] 和 [12 月] 底下的儲存格建立特殊的資料橫條，以視覺化方式呈現金額。</a:t>
            </a:r>
          </a:p>
        </xdr:txBody>
      </xdr:sp>
      <xdr:sp macro="" textlink="">
        <xdr:nvSpPr>
          <xdr:cNvPr id="87" name="橢圓​​ 86" descr="2">
            <a:extLst>
              <a:ext uri="{FF2B5EF4-FFF2-40B4-BE49-F238E27FC236}">
                <a16:creationId xmlns:a16="http://schemas.microsoft.com/office/drawing/2014/main" id="{00000000-0008-0000-0800-000057000000}"/>
              </a:ext>
            </a:extLst>
          </xdr:cNvPr>
          <xdr:cNvSpPr/>
        </xdr:nvSpPr>
        <xdr:spPr>
          <a:xfrm>
            <a:off x="565124" y="1756955"/>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現在，假設您想要移除資料橫條。請再次按一下此按鈕：">
            <a:extLst>
              <a:ext uri="{FF2B5EF4-FFF2-40B4-BE49-F238E27FC236}">
                <a16:creationId xmlns:a16="http://schemas.microsoft.com/office/drawing/2014/main" id="{00000000-0008-0000-0800-000058000000}"/>
              </a:ext>
            </a:extLst>
          </xdr:cNvPr>
          <xdr:cNvSpPr txBox="1"/>
        </xdr:nvSpPr>
        <xdr:spPr>
          <a:xfrm>
            <a:off x="972158" y="2303570"/>
            <a:ext cx="4809516" cy="430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現在，假設您想要移除資料橫條。請再次</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此按鈕：</a:t>
            </a:r>
          </a:p>
        </xdr:txBody>
      </xdr:sp>
      <xdr:sp macro="" textlink="">
        <xdr:nvSpPr>
          <xdr:cNvPr id="89" name="橢圓​​ 88" descr="3">
            <a:extLst>
              <a:ext uri="{FF2B5EF4-FFF2-40B4-BE49-F238E27FC236}">
                <a16:creationId xmlns:a16="http://schemas.microsoft.com/office/drawing/2014/main" id="{00000000-0008-0000-0800-000059000000}"/>
              </a:ext>
            </a:extLst>
          </xdr:cNvPr>
          <xdr:cNvSpPr/>
        </xdr:nvSpPr>
        <xdr:spPr>
          <a:xfrm>
            <a:off x="565124" y="226107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在隨即出現的面板中，按一下右側的 [清除格式] 按鈕">
            <a:extLst>
              <a:ext uri="{FF2B5EF4-FFF2-40B4-BE49-F238E27FC236}">
                <a16:creationId xmlns:a16="http://schemas.microsoft.com/office/drawing/2014/main" id="{00000000-0008-0000-0800-00005A000000}"/>
              </a:ext>
            </a:extLst>
          </xdr:cNvPr>
          <xdr:cNvSpPr txBox="1"/>
        </xdr:nvSpPr>
        <xdr:spPr>
          <a:xfrm>
            <a:off x="972158" y="2792793"/>
            <a:ext cx="4809516" cy="4647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在出現的面板中，按一下右側的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[清除格式]</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按鈕</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91" name="橢圓​​ 90" descr="4">
            <a:extLst>
              <a:ext uri="{FF2B5EF4-FFF2-40B4-BE49-F238E27FC236}">
                <a16:creationId xmlns:a16="http://schemas.microsoft.com/office/drawing/2014/main" id="{00000000-0008-0000-0800-00005B000000}"/>
              </a:ext>
            </a:extLst>
          </xdr:cNvPr>
          <xdr:cNvSpPr/>
        </xdr:nvSpPr>
        <xdr:spPr>
          <a:xfrm>
            <a:off x="565124" y="275029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pic>
        <xdr:nvPicPr>
          <xdr:cNvPr id="144" name="圖片 143" descr="[快速分析] 按鈕">
            <a:extLst>
              <a:ext uri="{FF2B5EF4-FFF2-40B4-BE49-F238E27FC236}">
                <a16:creationId xmlns:a16="http://schemas.microsoft.com/office/drawing/2014/main" id="{00000000-0008-0000-0800-000090000000}"/>
              </a:ext>
            </a:extLst>
          </xdr:cNvPr>
          <xdr:cNvPicPr>
            <a:picLocks noChangeAspect="1"/>
          </xdr:cNvPicPr>
        </xdr:nvPicPr>
        <xdr:blipFill rotWithShape="1">
          <a:blip xmlns:r="http://schemas.openxmlformats.org/officeDocument/2006/relationships" r:embed="rId8"/>
          <a:srcRect l="29498" t="32404" r="36228" b="19590"/>
          <a:stretch/>
        </xdr:blipFill>
        <xdr:spPr>
          <a:xfrm>
            <a:off x="5467355" y="1308497"/>
            <a:ext cx="243562" cy="241511"/>
          </a:xfrm>
          <a:prstGeom prst="rect">
            <a:avLst/>
          </a:prstGeom>
        </xdr:spPr>
      </xdr:pic>
      <xdr:pic>
        <xdr:nvPicPr>
          <xdr:cNvPr id="151" name="圖片 150" descr="[快速分析] 按鈕">
            <a:extLst>
              <a:ext uri="{FF2B5EF4-FFF2-40B4-BE49-F238E27FC236}">
                <a16:creationId xmlns:a16="http://schemas.microsoft.com/office/drawing/2014/main" id="{00000000-0008-0000-0800-000097000000}"/>
              </a:ext>
            </a:extLst>
          </xdr:cNvPr>
          <xdr:cNvPicPr>
            <a:picLocks noChangeAspect="1"/>
          </xdr:cNvPicPr>
        </xdr:nvPicPr>
        <xdr:blipFill rotWithShape="1">
          <a:blip xmlns:r="http://schemas.openxmlformats.org/officeDocument/2006/relationships" r:embed="rId8"/>
          <a:srcRect l="29498" t="32404" r="36228" b="19590"/>
          <a:stretch/>
        </xdr:blipFill>
        <xdr:spPr>
          <a:xfrm>
            <a:off x="4502609" y="2299097"/>
            <a:ext cx="243562" cy="241511"/>
          </a:xfrm>
          <a:prstGeom prst="rect">
            <a:avLst/>
          </a:prstGeom>
        </xdr:spPr>
      </xdr:pic>
    </xdr:grpSp>
    <xdr:clientData/>
  </xdr:twoCellAnchor>
  <xdr:twoCellAnchor editAs="oneCell">
    <xdr:from>
      <xdr:col>2</xdr:col>
      <xdr:colOff>727471</xdr:colOff>
      <xdr:row>13</xdr:row>
      <xdr:rowOff>107155</xdr:rowOff>
    </xdr:from>
    <xdr:to>
      <xdr:col>6</xdr:col>
      <xdr:colOff>3175</xdr:colOff>
      <xdr:row>19</xdr:row>
      <xdr:rowOff>142874</xdr:rowOff>
    </xdr:to>
    <xdr:grpSp>
      <xdr:nvGrpSpPr>
        <xdr:cNvPr id="2" name="不可不知" descr="不可不知：當您選取儲存格時，系統會顯示這個按鈕：此按鈕稱為「快速分析」，相當合適的名稱對吧？如果您有資料方面的問題，只要按一下此按鈕即可查看相關解答">
          <a:extLst>
            <a:ext uri="{FF2B5EF4-FFF2-40B4-BE49-F238E27FC236}">
              <a16:creationId xmlns:a16="http://schemas.microsoft.com/office/drawing/2014/main" id="{00000000-0008-0000-0800-000002000000}"/>
            </a:ext>
          </a:extLst>
        </xdr:cNvPr>
        <xdr:cNvGrpSpPr/>
      </xdr:nvGrpSpPr>
      <xdr:grpSpPr>
        <a:xfrm>
          <a:off x="7271146" y="3155155"/>
          <a:ext cx="3371454" cy="1178719"/>
          <a:chOff x="7099696" y="3364706"/>
          <a:chExt cx="2926175" cy="1072754"/>
        </a:xfrm>
      </xdr:grpSpPr>
      <xdr:sp macro="" textlink="">
        <xdr:nvSpPr>
          <xdr:cNvPr id="40" name="步驟" descr="GOOD TO KNOW&#10;When you select cells, this button appears: It's called the Quick Analysis button. Aptly named, don't you think? If you ever have a question about the data, click this button and see if it gives you some answers">
            <a:extLst>
              <a:ext uri="{FF2B5EF4-FFF2-40B4-BE49-F238E27FC236}">
                <a16:creationId xmlns:a16="http://schemas.microsoft.com/office/drawing/2014/main" id="{00000000-0008-0000-0800-000028000000}"/>
              </a:ext>
            </a:extLst>
          </xdr:cNvPr>
          <xdr:cNvSpPr txBox="1"/>
        </xdr:nvSpPr>
        <xdr:spPr>
          <a:xfrm>
            <a:off x="7389029" y="3389710"/>
            <a:ext cx="2555071" cy="1047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不可不知</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當您選取儲存格時，系統會顯示這個按鈕：此按鈕稱為</a:t>
            </a:r>
            <a:r>
              <a:rPr lang="zh-tw" sz="1100" b="1"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「快速分析」</a:t>
            </a: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，相當合適</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的名稱對吧？如果您有資料方面的問題，只要按一下此按鈕即可查看相關解答。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47" name="圖形 147" descr="眼鏡">
            <a:extLst>
              <a:ext uri="{FF2B5EF4-FFF2-40B4-BE49-F238E27FC236}">
                <a16:creationId xmlns:a16="http://schemas.microsoft.com/office/drawing/2014/main" id="{00000000-0008-0000-0800-000093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99696" y="3364706"/>
            <a:ext cx="324537" cy="367371"/>
          </a:xfrm>
          <a:prstGeom prst="rect">
            <a:avLst/>
          </a:prstGeom>
        </xdr:spPr>
      </xdr:pic>
      <xdr:pic>
        <xdr:nvPicPr>
          <xdr:cNvPr id="152" name="圖片 151" descr="[快速分析] 按鈕">
            <a:extLst>
              <a:ext uri="{FF2B5EF4-FFF2-40B4-BE49-F238E27FC236}">
                <a16:creationId xmlns:a16="http://schemas.microsoft.com/office/drawing/2014/main" id="{00000000-0008-0000-0800-000098000000}"/>
              </a:ext>
            </a:extLst>
          </xdr:cNvPr>
          <xdr:cNvPicPr>
            <a:picLocks noChangeAspect="1"/>
          </xdr:cNvPicPr>
        </xdr:nvPicPr>
        <xdr:blipFill rotWithShape="1">
          <a:blip xmlns:r="http://schemas.openxmlformats.org/officeDocument/2006/relationships" r:embed="rId8"/>
          <a:srcRect l="29498" t="32404" r="36228" b="19590"/>
          <a:stretch/>
        </xdr:blipFill>
        <xdr:spPr>
          <a:xfrm>
            <a:off x="9782309" y="3592890"/>
            <a:ext cx="243562" cy="241511"/>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723900</xdr:colOff>
      <xdr:row>13</xdr:row>
      <xdr:rowOff>161925</xdr:rowOff>
    </xdr:from>
    <xdr:to>
      <xdr:col>4</xdr:col>
      <xdr:colOff>723900</xdr:colOff>
      <xdr:row>21</xdr:row>
      <xdr:rowOff>146685</xdr:rowOff>
    </xdr:to>
    <xdr:grpSp>
      <xdr:nvGrpSpPr>
        <xdr:cNvPr id="5" name="群組 4"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FBAEC2C8-8F29-4E3B-9074-EB1EF5E2CFA5}"/>
            </a:ext>
          </a:extLst>
        </xdr:cNvPr>
        <xdr:cNvGrpSpPr/>
      </xdr:nvGrpSpPr>
      <xdr:grpSpPr>
        <a:xfrm>
          <a:off x="7267575" y="3209925"/>
          <a:ext cx="3009900" cy="1508760"/>
          <a:chOff x="7096125" y="3419475"/>
          <a:chExt cx="2762250" cy="1257300"/>
        </a:xfrm>
      </xdr:grpSpPr>
      <xdr:sp macro="" textlink="">
        <xdr:nvSpPr>
          <xdr:cNvPr id="40" name="步驟" descr="EXTRA CREDIT&#10;Want a data table directly under the chart? Click the chart. On the Chart Tools tab, click Design. Then click Add Chart Element &gt; Data Table &gt; With Legend Keys">
            <a:extLst>
              <a:ext uri="{FF2B5EF4-FFF2-40B4-BE49-F238E27FC236}">
                <a16:creationId xmlns:a16="http://schemas.microsoft.com/office/drawing/2014/main" id="{00000000-0008-0000-0900-000028000000}"/>
              </a:ext>
            </a:extLst>
          </xdr:cNvPr>
          <xdr:cNvSpPr txBox="1"/>
        </xdr:nvSpPr>
        <xdr:spPr>
          <a:xfrm>
            <a:off x="7455706" y="3419475"/>
            <a:ext cx="2402669" cy="1257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希望運算列表直接位於圖表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底下嗎？按一下圖表，在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[圖表工具]</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索引標籤上，按一下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[設計]</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[新增圖表項目]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[運算列表]</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[有圖例符號]</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41" name="圖形 263" descr="功能區">
            <a:extLst>
              <a:ext uri="{FF2B5EF4-FFF2-40B4-BE49-F238E27FC236}">
                <a16:creationId xmlns:a16="http://schemas.microsoft.com/office/drawing/2014/main" id="{00000000-0008-0000-0900-000029000000}"/>
              </a:ext>
            </a:extLst>
          </xdr:cNvPr>
          <xdr:cNvPicPr preferRelativeResize="0">
            <a:picLocks/>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3474301"/>
            <a:ext cx="471716" cy="396240"/>
          </a:xfrm>
          <a:prstGeom prst="rect">
            <a:avLst/>
          </a:prstGeom>
        </xdr:spPr>
      </xdr:pic>
    </xdr:grpSp>
    <xdr:clientData/>
  </xdr:twoCellAnchor>
  <xdr:twoCellAnchor editAs="oneCell">
    <xdr:from>
      <xdr:col>0</xdr:col>
      <xdr:colOff>333375</xdr:colOff>
      <xdr:row>0</xdr:row>
      <xdr:rowOff>266700</xdr:rowOff>
    </xdr:from>
    <xdr:to>
      <xdr:col>1</xdr:col>
      <xdr:colOff>5016500</xdr:colOff>
      <xdr:row>22</xdr:row>
      <xdr:rowOff>123825</xdr:rowOff>
    </xdr:to>
    <xdr:grpSp>
      <xdr:nvGrpSpPr>
        <xdr:cNvPr id="77" name="建議使用的精美圖表" descr="Great charts recommended for you&#10;Click anywhere in the data to the right, and then click Insert &gt; Recommended Charts.&#10;You'll see several recommendations. Click the second one on the left called Clustered Columns. Then click OK.&#10;A column chart appears showing total number of conference attendees per year. Feel free to move it anywhere you'd like.&#10;Now you'll add a trendline. Select the chart, and the Chart Tools tab will appear at the top of the Excel window.&#10;On the Chart Tools tab, click Design. Then click Add chart element &gt; Trendline &gt; Linear. Now you have a trendline that shows the general direction of the units sold over time.&#10;Dive down for more detail &#10;Next step">
          <a:extLst>
            <a:ext uri="{FF2B5EF4-FFF2-40B4-BE49-F238E27FC236}">
              <a16:creationId xmlns:a16="http://schemas.microsoft.com/office/drawing/2014/main" id="{00000000-0008-0000-0900-00004D000000}"/>
            </a:ext>
          </a:extLst>
        </xdr:cNvPr>
        <xdr:cNvGrpSpPr/>
      </xdr:nvGrpSpPr>
      <xdr:grpSpPr>
        <a:xfrm>
          <a:off x="333375" y="266700"/>
          <a:ext cx="5778500" cy="4619625"/>
          <a:chOff x="0" y="0"/>
          <a:chExt cx="5695950" cy="4619625"/>
        </a:xfrm>
      </xdr:grpSpPr>
      <xdr:sp macro="" textlink="">
        <xdr:nvSpPr>
          <xdr:cNvPr id="78" name="矩形 77" descr="背景">
            <a:extLst>
              <a:ext uri="{FF2B5EF4-FFF2-40B4-BE49-F238E27FC236}">
                <a16:creationId xmlns:a16="http://schemas.microsoft.com/office/drawing/2014/main" id="{00000000-0008-0000-0900-00004E000000}"/>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9" name="步驟" descr="建議使用的精美圖表">
            <a:extLst>
              <a:ext uri="{FF2B5EF4-FFF2-40B4-BE49-F238E27FC236}">
                <a16:creationId xmlns:a16="http://schemas.microsoft.com/office/drawing/2014/main" id="{00000000-0008-0000-0900-00004F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建議使用的精美圖表</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80" name="直線接點 79" descr="裝飾線條">
            <a:extLst>
              <a:ext uri="{FF2B5EF4-FFF2-40B4-BE49-F238E27FC236}">
                <a16:creationId xmlns:a16="http://schemas.microsoft.com/office/drawing/2014/main" id="{00000000-0008-0000-0900-000050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1" name="[下一步] 按鈕" descr="向下瀏覽以取得更多詳細資料">
            <a:hlinkClick xmlns:r="http://schemas.openxmlformats.org/officeDocument/2006/relationships" r:id="rId3"/>
            <a:extLst>
              <a:ext uri="{FF2B5EF4-FFF2-40B4-BE49-F238E27FC236}">
                <a16:creationId xmlns:a16="http://schemas.microsoft.com/office/drawing/2014/main" id="{00000000-0008-0000-0900-000051000000}"/>
              </a:ext>
            </a:extLst>
          </xdr:cNvPr>
          <xdr:cNvSpPr/>
        </xdr:nvSpPr>
        <xdr:spPr>
          <a:xfrm>
            <a:off x="234924" y="3842507"/>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82" name="直線接點​​ 81" descr="裝飾線條">
            <a:extLst>
              <a:ext uri="{FF2B5EF4-FFF2-40B4-BE49-F238E27FC236}">
                <a16:creationId xmlns:a16="http://schemas.microsoft.com/office/drawing/2014/main" id="{00000000-0008-0000-0900-000052000000}"/>
              </a:ext>
            </a:extLst>
          </xdr:cNvPr>
          <xdr:cNvCxnSpPr>
            <a:cxnSpLocks/>
          </xdr:cNvCxnSpPr>
        </xdr:nvCxnSpPr>
        <xdr:spPr>
          <a:xfrm>
            <a:off x="234924" y="3581400"/>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3"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900-000053000000}"/>
              </a:ext>
            </a:extLst>
          </xdr:cNvPr>
          <xdr:cNvSpPr/>
        </xdr:nvSpPr>
        <xdr:spPr>
          <a:xfrm>
            <a:off x="4293870" y="384250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84" name="步驟" descr="按一下右側資料中的任何位置，然後按一下 [插入] &gt; [建議的圖表]">
            <a:extLst>
              <a:ext uri="{FF2B5EF4-FFF2-40B4-BE49-F238E27FC236}">
                <a16:creationId xmlns:a16="http://schemas.microsoft.com/office/drawing/2014/main" id="{00000000-0008-0000-0900-000054000000}"/>
              </a:ext>
            </a:extLst>
          </xdr:cNvPr>
          <xdr:cNvSpPr txBox="1"/>
        </xdr:nvSpPr>
        <xdr:spPr>
          <a:xfrm>
            <a:off x="638783" y="814277"/>
            <a:ext cx="4809516" cy="421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按一下右側資料中的任何位置，然後按一下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&gt;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[建議的圖表]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85" name="橢圓​​ 84" descr="1">
            <a:extLst>
              <a:ext uri="{FF2B5EF4-FFF2-40B4-BE49-F238E27FC236}">
                <a16:creationId xmlns:a16="http://schemas.microsoft.com/office/drawing/2014/main" id="{00000000-0008-0000-0900-000055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86" name="步驟" descr="您會看到幾個建議。按一下左側的第二個選項 (名為「群組直條圖」)，然後按一下 [確定]">
            <a:extLst>
              <a:ext uri="{FF2B5EF4-FFF2-40B4-BE49-F238E27FC236}">
                <a16:creationId xmlns:a16="http://schemas.microsoft.com/office/drawing/2014/main" id="{00000000-0008-0000-0900-000056000000}"/>
              </a:ext>
            </a:extLst>
          </xdr:cNvPr>
          <xdr:cNvSpPr txBox="1"/>
        </xdr:nvSpPr>
        <xdr:spPr>
          <a:xfrm>
            <a:off x="638782" y="1243102"/>
            <a:ext cx="4809517" cy="499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您會看到幾個建議。按一下左側的第二個選項 (名為「群組直條圖」)，然後按一下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p>
        </xdr:txBody>
      </xdr:sp>
      <xdr:sp macro="" textlink="">
        <xdr:nvSpPr>
          <xdr:cNvPr id="87" name="橢圓​​ 86" descr="2">
            <a:extLst>
              <a:ext uri="{FF2B5EF4-FFF2-40B4-BE49-F238E27FC236}">
                <a16:creationId xmlns:a16="http://schemas.microsoft.com/office/drawing/2014/main" id="{00000000-0008-0000-0900-000057000000}"/>
              </a:ext>
            </a:extLst>
          </xdr:cNvPr>
          <xdr:cNvSpPr/>
        </xdr:nvSpPr>
        <xdr:spPr>
          <a:xfrm>
            <a:off x="231749" y="127680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88" name="步驟" descr="顯示每年會議出席者總人數的直條圖隨即出現。您可以視需要隨意移動直條圖。">
            <a:extLst>
              <a:ext uri="{FF2B5EF4-FFF2-40B4-BE49-F238E27FC236}">
                <a16:creationId xmlns:a16="http://schemas.microsoft.com/office/drawing/2014/main" id="{00000000-0008-0000-0900-000058000000}"/>
              </a:ext>
            </a:extLst>
          </xdr:cNvPr>
          <xdr:cNvSpPr txBox="1"/>
        </xdr:nvSpPr>
        <xdr:spPr>
          <a:xfrm>
            <a:off x="638783" y="1816432"/>
            <a:ext cx="4809516" cy="5171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直條圖會顯示每年會議出席者的總數。您可以視需要隨意移動直條圖。</a:t>
            </a:r>
          </a:p>
        </xdr:txBody>
      </xdr:sp>
      <xdr:sp macro="" textlink="">
        <xdr:nvSpPr>
          <xdr:cNvPr id="89" name="橢圓​​ 88" descr="3">
            <a:extLst>
              <a:ext uri="{FF2B5EF4-FFF2-40B4-BE49-F238E27FC236}">
                <a16:creationId xmlns:a16="http://schemas.microsoft.com/office/drawing/2014/main" id="{00000000-0008-0000-0900-000059000000}"/>
              </a:ext>
            </a:extLst>
          </xdr:cNvPr>
          <xdr:cNvSpPr/>
        </xdr:nvSpPr>
        <xdr:spPr>
          <a:xfrm>
            <a:off x="231749" y="177393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90" name="步驟" descr="現在，您將新增趨勢線。選取圖表，[圖表工具] 索引標籤隨即顯示於 Excel 視窗的頂端上">
            <a:extLst>
              <a:ext uri="{FF2B5EF4-FFF2-40B4-BE49-F238E27FC236}">
                <a16:creationId xmlns:a16="http://schemas.microsoft.com/office/drawing/2014/main" id="{00000000-0008-0000-0900-00005A000000}"/>
              </a:ext>
            </a:extLst>
          </xdr:cNvPr>
          <xdr:cNvSpPr txBox="1"/>
        </xdr:nvSpPr>
        <xdr:spPr>
          <a:xfrm>
            <a:off x="638783" y="2312507"/>
            <a:ext cx="4809516" cy="50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現在，您將新增趨勢線。選取圖表，</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圖表設計</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索引標籤隨即顯示於 Excel 視窗的頂端上。</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xdr:txBody>
      </xdr:sp>
      <xdr:sp macro="" textlink="">
        <xdr:nvSpPr>
          <xdr:cNvPr id="91" name="橢圓​​ 90" descr="4">
            <a:extLst>
              <a:ext uri="{FF2B5EF4-FFF2-40B4-BE49-F238E27FC236}">
                <a16:creationId xmlns:a16="http://schemas.microsoft.com/office/drawing/2014/main" id="{00000000-0008-0000-0900-00005B000000}"/>
              </a:ext>
            </a:extLst>
          </xdr:cNvPr>
          <xdr:cNvSpPr/>
        </xdr:nvSpPr>
        <xdr:spPr>
          <a:xfrm>
            <a:off x="231749" y="227000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92" name="步驟" descr="在 [圖表工具] 索引標籤上，按一下 [設計]，然後按一下 [新增圖表項目] &gt; [趨勢線] &gt; [線性]。現在，您會看到趨勢線顯示銷售數量在一段時間內的大致方向">
            <a:extLst>
              <a:ext uri="{FF2B5EF4-FFF2-40B4-BE49-F238E27FC236}">
                <a16:creationId xmlns:a16="http://schemas.microsoft.com/office/drawing/2014/main" id="{00000000-0008-0000-0900-00005C000000}"/>
              </a:ext>
            </a:extLst>
          </xdr:cNvPr>
          <xdr:cNvSpPr txBox="1"/>
        </xdr:nvSpPr>
        <xdr:spPr>
          <a:xfrm>
            <a:off x="638783" y="28610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圖表設計</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索引標籤上，按一下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[設計]，</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[新增圖表項目] &gt; [趨勢線] &gt; [線性]</a:t>
            </a:r>
            <a:r>
              <a:rPr lang="zh-tw" sz="1100" kern="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。現在，您會看到趨勢線顯示銷售數量在一段時間內的大致方向。</a:t>
            </a:r>
          </a:p>
        </xdr:txBody>
      </xdr:sp>
      <xdr:sp macro="" textlink="">
        <xdr:nvSpPr>
          <xdr:cNvPr id="93" name="橢圓​​ 92" descr="5">
            <a:extLst>
              <a:ext uri="{FF2B5EF4-FFF2-40B4-BE49-F238E27FC236}">
                <a16:creationId xmlns:a16="http://schemas.microsoft.com/office/drawing/2014/main" id="{00000000-0008-0000-0900-00005D000000}"/>
              </a:ext>
            </a:extLst>
          </xdr:cNvPr>
          <xdr:cNvSpPr/>
        </xdr:nvSpPr>
        <xdr:spPr>
          <a:xfrm>
            <a:off x="231749" y="281858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50</xdr:row>
      <xdr:rowOff>47625</xdr:rowOff>
    </xdr:to>
    <xdr:grpSp>
      <xdr:nvGrpSpPr>
        <xdr:cNvPr id="12" name="水平與垂直座標軸" descr="Horizontal and vertical axes&#10;In school you might have learned that there is an x-axis and a y-axis. Excel has these two axes as well, but it calls them something different.&#10;&#10;In Excel this is what they are called:&#10;• The x-axis along the bottom is called the horizontal axis. &#10;• The y-axis that runs up and down is called the vertical axis. &#10;&#10;Each axis can either be a value axis or a category axis.&#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0C000000}"/>
            </a:ext>
          </a:extLst>
        </xdr:cNvPr>
        <xdr:cNvGrpSpPr/>
      </xdr:nvGrpSpPr>
      <xdr:grpSpPr>
        <a:xfrm>
          <a:off x="390525" y="5524500"/>
          <a:ext cx="5778500" cy="4619625"/>
          <a:chOff x="390525" y="5943600"/>
          <a:chExt cx="5695950" cy="4619625"/>
        </a:xfrm>
      </xdr:grpSpPr>
      <xdr:sp macro="" textlink="">
        <xdr:nvSpPr>
          <xdr:cNvPr id="100" name="矩形 99" descr="背景">
            <a:extLst>
              <a:ext uri="{FF2B5EF4-FFF2-40B4-BE49-F238E27FC236}">
                <a16:creationId xmlns:a16="http://schemas.microsoft.com/office/drawing/2014/main" id="{00000000-0008-0000-0900-000064000000}"/>
              </a:ext>
            </a:extLst>
          </xdr:cNvPr>
          <xdr:cNvSpPr/>
        </xdr:nvSpPr>
        <xdr:spPr>
          <a:xfrm>
            <a:off x="390525" y="594360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01" name="直線接點 100" descr="裝飾線條">
            <a:extLst>
              <a:ext uri="{FF2B5EF4-FFF2-40B4-BE49-F238E27FC236}">
                <a16:creationId xmlns:a16="http://schemas.microsoft.com/office/drawing/2014/main" id="{00000000-0008-0000-0900-000065000000}"/>
              </a:ext>
            </a:extLst>
          </xdr:cNvPr>
          <xdr:cNvCxnSpPr>
            <a:cxnSpLocks/>
          </xdr:cNvCxnSpPr>
        </xdr:nvCxnSpPr>
        <xdr:spPr>
          <a:xfrm>
            <a:off x="625449" y="65697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2" name="直線接點 101" descr="裝飾線條">
            <a:extLst>
              <a:ext uri="{FF2B5EF4-FFF2-40B4-BE49-F238E27FC236}">
                <a16:creationId xmlns:a16="http://schemas.microsoft.com/office/drawing/2014/main" id="{00000000-0008-0000-0900-000066000000}"/>
              </a:ext>
            </a:extLst>
          </xdr:cNvPr>
          <xdr:cNvCxnSpPr>
            <a:cxnSpLocks/>
          </xdr:cNvCxnSpPr>
        </xdr:nvCxnSpPr>
        <xdr:spPr>
          <a:xfrm>
            <a:off x="625449" y="1032256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99" name="步驟" descr="水平與垂直座標軸">
            <a:extLst>
              <a:ext uri="{FF2B5EF4-FFF2-40B4-BE49-F238E27FC236}">
                <a16:creationId xmlns:a16="http://schemas.microsoft.com/office/drawing/2014/main" id="{00000000-0008-0000-0900-000063000000}"/>
              </a:ext>
            </a:extLst>
          </xdr:cNvPr>
          <xdr:cNvSpPr txBox="1"/>
        </xdr:nvSpPr>
        <xdr:spPr>
          <a:xfrm>
            <a:off x="622273" y="60622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水平與垂直座標軸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97" name="步驟" descr="In school you might have learned that there is an x-axis and a y-axis. Excel has these two axes as well, but it calls them something different. &#10;&#10;In Excel this is what they are called:&#10;&#10;• The x-axis along the bottom is called the horizontal axis. &#10;• The y-axis that runs up and down is called the vertical axis. &#10;&#10;Each axis can either be a value axis or a category axis. &#10;• A value axis represents numerical values. For example, a value axis can represent dollars, hours, duration, temperature, and so on.  The vertical axis on the right is a value axis. &#10;• A category axis represents things like dates, people names, product names. The horizontal axis on the right has years so this is a category axis">
            <a:extLst>
              <a:ext uri="{FF2B5EF4-FFF2-40B4-BE49-F238E27FC236}">
                <a16:creationId xmlns:a16="http://schemas.microsoft.com/office/drawing/2014/main" id="{00000000-0008-0000-0900-000061000000}"/>
              </a:ext>
            </a:extLst>
          </xdr:cNvPr>
          <xdr:cNvSpPr txBox="1"/>
        </xdr:nvSpPr>
        <xdr:spPr>
          <a:xfrm>
            <a:off x="619125" y="6643320"/>
            <a:ext cx="5300938" cy="3438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您可能已經在學校學過 X 軸和 Y 軸。Excel 也有這兩個座標軸，但名稱稍有不同。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Excel 中，這些座標軸稱為：</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橫跨於底部的 X 軸稱為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水平座標軸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上下延伸的 Y 軸稱為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垂直座標軸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每個座標軸都可以是數值座標軸或類別座標軸。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數值座標軸</a:t>
            </a:r>
            <a:r>
              <a:rPr lang="en-US" alt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代表數值。例如，數值座標軸可以代表金額、小時、持續時間、溫度等等。右側的垂直座標軸即為數值座標軸。 </a:t>
            </a: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altLang="en-US"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類別座標軸</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代表日期、人員名稱、產品名稱等資訊。</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右側含有年份的水平座標軸</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即為類別軸。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3</xdr:col>
      <xdr:colOff>19050</xdr:colOff>
      <xdr:row>51</xdr:row>
      <xdr:rowOff>133350</xdr:rowOff>
    </xdr:from>
    <xdr:to>
      <xdr:col>7</xdr:col>
      <xdr:colOff>561976</xdr:colOff>
      <xdr:row>64</xdr:row>
      <xdr:rowOff>171450</xdr:rowOff>
    </xdr:to>
    <xdr:grpSp>
      <xdr:nvGrpSpPr>
        <xdr:cNvPr id="14" name="副座標軸圖表" descr="組合式圖表">
          <a:extLst>
            <a:ext uri="{FF2B5EF4-FFF2-40B4-BE49-F238E27FC236}">
              <a16:creationId xmlns:a16="http://schemas.microsoft.com/office/drawing/2014/main" id="{00000000-0008-0000-0900-00000E000000}"/>
            </a:ext>
          </a:extLst>
        </xdr:cNvPr>
        <xdr:cNvGrpSpPr/>
      </xdr:nvGrpSpPr>
      <xdr:grpSpPr>
        <a:xfrm>
          <a:off x="7753350" y="10420350"/>
          <a:ext cx="5943601" cy="2514600"/>
          <a:chOff x="7315200" y="10839450"/>
          <a:chExt cx="5477189" cy="2514600"/>
        </a:xfrm>
      </xdr:grpSpPr>
      <xdr:sp macro="" textlink="">
        <xdr:nvSpPr>
          <xdr:cNvPr id="131" name="手繪多邊形：圖案 130" descr="括號行">
            <a:extLst>
              <a:ext uri="{FF2B5EF4-FFF2-40B4-BE49-F238E27FC236}">
                <a16:creationId xmlns:a16="http://schemas.microsoft.com/office/drawing/2014/main" id="{00000000-0008-0000-0900-000083000000}"/>
              </a:ext>
            </a:extLst>
          </xdr:cNvPr>
          <xdr:cNvSpPr/>
        </xdr:nvSpPr>
        <xdr:spPr>
          <a:xfrm>
            <a:off x="11638121" y="10985227"/>
            <a:ext cx="181608" cy="7944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2" name="手繪多邊形：圖案 131" descr="括號行">
            <a:extLst>
              <a:ext uri="{FF2B5EF4-FFF2-40B4-BE49-F238E27FC236}">
                <a16:creationId xmlns:a16="http://schemas.microsoft.com/office/drawing/2014/main" id="{00000000-0008-0000-0900-000084000000}"/>
              </a:ext>
            </a:extLst>
          </xdr:cNvPr>
          <xdr:cNvSpPr/>
        </xdr:nvSpPr>
        <xdr:spPr>
          <a:xfrm rot="10800000" flipH="1">
            <a:off x="11627123" y="12006584"/>
            <a:ext cx="183793" cy="79501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3" name="弧線 132" descr="括號行">
            <a:extLst>
              <a:ext uri="{FF2B5EF4-FFF2-40B4-BE49-F238E27FC236}">
                <a16:creationId xmlns:a16="http://schemas.microsoft.com/office/drawing/2014/main" id="{00000000-0008-0000-0900-000085000000}"/>
              </a:ext>
            </a:extLst>
          </xdr:cNvPr>
          <xdr:cNvSpPr/>
        </xdr:nvSpPr>
        <xdr:spPr>
          <a:xfrm rot="16200000">
            <a:off x="11788745" y="11908378"/>
            <a:ext cx="260289"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4" name="弧線 133" descr="括號行">
            <a:extLst>
              <a:ext uri="{FF2B5EF4-FFF2-40B4-BE49-F238E27FC236}">
                <a16:creationId xmlns:a16="http://schemas.microsoft.com/office/drawing/2014/main" id="{00000000-0008-0000-0900-000086000000}"/>
              </a:ext>
            </a:extLst>
          </xdr:cNvPr>
          <xdr:cNvSpPr/>
        </xdr:nvSpPr>
        <xdr:spPr>
          <a:xfrm rot="16200000" flipH="1">
            <a:off x="11786541" y="11641477"/>
            <a:ext cx="260289"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0" name="步驟" descr="副座標軸">
            <a:extLst>
              <a:ext uri="{FF2B5EF4-FFF2-40B4-BE49-F238E27FC236}">
                <a16:creationId xmlns:a16="http://schemas.microsoft.com/office/drawing/2014/main" id="{00000000-0008-0000-0900-00008C000000}"/>
              </a:ext>
            </a:extLst>
          </xdr:cNvPr>
          <xdr:cNvSpPr txBox="1"/>
        </xdr:nvSpPr>
        <xdr:spPr>
          <a:xfrm>
            <a:off x="11734800" y="11699706"/>
            <a:ext cx="1057589" cy="816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副座標軸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aphicFrame macro="">
        <xdr:nvGraphicFramePr>
          <xdr:cNvPr id="129" name="圖表 128" descr="組合式圖表">
            <a:extLst>
              <a:ext uri="{FF2B5EF4-FFF2-40B4-BE49-F238E27FC236}">
                <a16:creationId xmlns:a16="http://schemas.microsoft.com/office/drawing/2014/main" id="{00000000-0008-0000-0900-000081000000}"/>
              </a:ext>
            </a:extLst>
          </xdr:cNvPr>
          <xdr:cNvGraphicFramePr/>
        </xdr:nvGraphicFramePr>
        <xdr:xfrm>
          <a:off x="7315200" y="10839450"/>
          <a:ext cx="4257675" cy="25146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0</xdr:col>
      <xdr:colOff>390525</xdr:colOff>
      <xdr:row>51</xdr:row>
      <xdr:rowOff>1</xdr:rowOff>
    </xdr:from>
    <xdr:to>
      <xdr:col>1</xdr:col>
      <xdr:colOff>5073650</xdr:colOff>
      <xdr:row>65</xdr:row>
      <xdr:rowOff>114301</xdr:rowOff>
    </xdr:to>
    <xdr:grpSp>
      <xdr:nvGrpSpPr>
        <xdr:cNvPr id="11" name="副座標軸" descr="Secondary axis&#10;You can also use a secondary axis in a chart. A secondary axis is an additional value axis that can show different values than the other value axis. &#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0B000000}"/>
            </a:ext>
          </a:extLst>
        </xdr:cNvPr>
        <xdr:cNvGrpSpPr/>
      </xdr:nvGrpSpPr>
      <xdr:grpSpPr>
        <a:xfrm>
          <a:off x="390525" y="10287001"/>
          <a:ext cx="5778500" cy="2781300"/>
          <a:chOff x="390525" y="10810875"/>
          <a:chExt cx="5695950" cy="2676525"/>
        </a:xfrm>
      </xdr:grpSpPr>
      <xdr:sp macro="" textlink="">
        <xdr:nvSpPr>
          <xdr:cNvPr id="122" name="矩形 121" descr="背景">
            <a:extLst>
              <a:ext uri="{FF2B5EF4-FFF2-40B4-BE49-F238E27FC236}">
                <a16:creationId xmlns:a16="http://schemas.microsoft.com/office/drawing/2014/main" id="{00000000-0008-0000-0900-00007A000000}"/>
              </a:ext>
            </a:extLst>
          </xdr:cNvPr>
          <xdr:cNvSpPr/>
        </xdr:nvSpPr>
        <xdr:spPr>
          <a:xfrm>
            <a:off x="390525" y="10810875"/>
            <a:ext cx="5695950" cy="2676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cxnSp macro="">
        <xdr:nvCxnSpPr>
          <xdr:cNvPr id="123" name="直線接點 122" descr="裝飾線條">
            <a:extLst>
              <a:ext uri="{FF2B5EF4-FFF2-40B4-BE49-F238E27FC236}">
                <a16:creationId xmlns:a16="http://schemas.microsoft.com/office/drawing/2014/main" id="{00000000-0008-0000-0900-00007B000000}"/>
              </a:ext>
            </a:extLst>
          </xdr:cNvPr>
          <xdr:cNvCxnSpPr>
            <a:cxnSpLocks/>
          </xdr:cNvCxnSpPr>
        </xdr:nvCxnSpPr>
        <xdr:spPr>
          <a:xfrm>
            <a:off x="625449" y="1143698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直線接點 123" descr="裝飾線條">
            <a:extLst>
              <a:ext uri="{FF2B5EF4-FFF2-40B4-BE49-F238E27FC236}">
                <a16:creationId xmlns:a16="http://schemas.microsoft.com/office/drawing/2014/main" id="{00000000-0008-0000-0900-00007C000000}"/>
              </a:ext>
            </a:extLst>
          </xdr:cNvPr>
          <xdr:cNvCxnSpPr>
            <a:cxnSpLocks/>
          </xdr:cNvCxnSpPr>
        </xdr:nvCxnSpPr>
        <xdr:spPr>
          <a:xfrm>
            <a:off x="625449" y="1324927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1" name="步驟" descr="副座標軸">
            <a:extLst>
              <a:ext uri="{FF2B5EF4-FFF2-40B4-BE49-F238E27FC236}">
                <a16:creationId xmlns:a16="http://schemas.microsoft.com/office/drawing/2014/main" id="{00000000-0008-0000-0900-000079000000}"/>
              </a:ext>
            </a:extLst>
          </xdr:cNvPr>
          <xdr:cNvSpPr txBox="1"/>
        </xdr:nvSpPr>
        <xdr:spPr>
          <a:xfrm>
            <a:off x="622273" y="10929573"/>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副座標軸</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9" name="步驟" descr="You can also use a secondary axis in a chart. A secondary axis is an additional value axis that can show different values than the other value axis. &#10;&#10;A popular example is on the right. It's the same as the chart above, but it has an additional secondary vertical axis that represents the sales amounts for each month. Some would say that by having a secondary axis, you almost have “two charts in one.” That’s true. This chart is both a column chart and a line chart. These kind of charts are called Combo charts in Excel. If you’re interested in this kind of chart, click the link at the bottom of this sheet">
            <a:extLst>
              <a:ext uri="{FF2B5EF4-FFF2-40B4-BE49-F238E27FC236}">
                <a16:creationId xmlns:a16="http://schemas.microsoft.com/office/drawing/2014/main" id="{00000000-0008-0000-0900-000077000000}"/>
              </a:ext>
            </a:extLst>
          </xdr:cNvPr>
          <xdr:cNvSpPr txBox="1"/>
        </xdr:nvSpPr>
        <xdr:spPr>
          <a:xfrm>
            <a:off x="619125" y="11456766"/>
            <a:ext cx="5300938" cy="1708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您也可以在圖表中使用</a:t>
            </a:r>
            <a:r>
              <a:rPr lang="en-US" alt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[副座標軸]。</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副座標軸是額外的數值座標軸，可顯示與其他數值座標軸不同的數值。 </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右側為常見的範例。這個範例與上方圖表相同，但包含代表每月銷售額的額外副垂直座標軸。有些人說只要有副座標軸，就幾乎等同於擁有「二合一的圖表」，這種說法是對的。這種圖表融合了直條圖和折線圖，這種圖表在 Excel 中稱為</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「組合式圖表」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。如果您想使用這種圖表，請按一下本工作表底部的連結。</a:t>
            </a: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lvl="0" rtl="0">
              <a:defRPr/>
            </a:pPr>
            <a:endPar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grpSp>
    <xdr:clientData/>
  </xdr:twoCellAnchor>
  <xdr:twoCellAnchor editAs="oneCell">
    <xdr:from>
      <xdr:col>1</xdr:col>
      <xdr:colOff>5200650</xdr:colOff>
      <xdr:row>29</xdr:row>
      <xdr:rowOff>85725</xdr:rowOff>
    </xdr:from>
    <xdr:to>
      <xdr:col>6</xdr:col>
      <xdr:colOff>190500</xdr:colOff>
      <xdr:row>46</xdr:row>
      <xdr:rowOff>61120</xdr:rowOff>
    </xdr:to>
    <xdr:grpSp>
      <xdr:nvGrpSpPr>
        <xdr:cNvPr id="10" name="水平與垂直座標軸圖表" descr="顯示水平與垂直座標軸的圖表">
          <a:extLst>
            <a:ext uri="{FF2B5EF4-FFF2-40B4-BE49-F238E27FC236}">
              <a16:creationId xmlns:a16="http://schemas.microsoft.com/office/drawing/2014/main" id="{00000000-0008-0000-0900-00000A000000}"/>
            </a:ext>
          </a:extLst>
        </xdr:cNvPr>
        <xdr:cNvGrpSpPr/>
      </xdr:nvGrpSpPr>
      <xdr:grpSpPr>
        <a:xfrm>
          <a:off x="6296025" y="6181725"/>
          <a:ext cx="6267450" cy="3213895"/>
          <a:chOff x="6048375" y="6600825"/>
          <a:chExt cx="5419725" cy="3213895"/>
        </a:xfrm>
      </xdr:grpSpPr>
      <xdr:sp macro="" textlink="">
        <xdr:nvSpPr>
          <xdr:cNvPr id="116" name="步驟" descr="類別座標軸">
            <a:extLst>
              <a:ext uri="{FF2B5EF4-FFF2-40B4-BE49-F238E27FC236}">
                <a16:creationId xmlns:a16="http://schemas.microsoft.com/office/drawing/2014/main" id="{00000000-0008-0000-0900-000074000000}"/>
              </a:ext>
            </a:extLst>
          </xdr:cNvPr>
          <xdr:cNvSpPr txBox="1"/>
        </xdr:nvSpPr>
        <xdr:spPr>
          <a:xfrm>
            <a:off x="8010525" y="9480382"/>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(類別座標軸)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aphicFrame macro="">
        <xdr:nvGraphicFramePr>
          <xdr:cNvPr id="94" name="圖表 93" descr="圖表">
            <a:extLst>
              <a:ext uri="{FF2B5EF4-FFF2-40B4-BE49-F238E27FC236}">
                <a16:creationId xmlns:a16="http://schemas.microsoft.com/office/drawing/2014/main" id="{00000000-0008-0000-0900-00005E000000}"/>
              </a:ext>
            </a:extLst>
          </xdr:cNvPr>
          <xdr:cNvGraphicFramePr/>
        </xdr:nvGraphicFramePr>
        <xdr:xfrm>
          <a:off x="7339012" y="6600825"/>
          <a:ext cx="4129088" cy="2438400"/>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136" name="手繪多邊形：圖案 135" descr="括號行">
            <a:extLst>
              <a:ext uri="{FF2B5EF4-FFF2-40B4-BE49-F238E27FC236}">
                <a16:creationId xmlns:a16="http://schemas.microsoft.com/office/drawing/2014/main" id="{00000000-0008-0000-0900-000088000000}"/>
              </a:ext>
            </a:extLst>
          </xdr:cNvPr>
          <xdr:cNvSpPr/>
        </xdr:nvSpPr>
        <xdr:spPr>
          <a:xfrm rot="5400000">
            <a:off x="10405107" y="8322832"/>
            <a:ext cx="181608" cy="163957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7" name="手繪多邊形：圖案 136" descr="括號行">
            <a:extLst>
              <a:ext uri="{FF2B5EF4-FFF2-40B4-BE49-F238E27FC236}">
                <a16:creationId xmlns:a16="http://schemas.microsoft.com/office/drawing/2014/main" id="{00000000-0008-0000-0900-000089000000}"/>
              </a:ext>
            </a:extLst>
          </xdr:cNvPr>
          <xdr:cNvSpPr/>
        </xdr:nvSpPr>
        <xdr:spPr>
          <a:xfrm rot="16200000" flipH="1">
            <a:off x="8413546" y="8321878"/>
            <a:ext cx="183793" cy="1640724"/>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8" name="弧線 137" descr="括號行">
            <a:extLst>
              <a:ext uri="{FF2B5EF4-FFF2-40B4-BE49-F238E27FC236}">
                <a16:creationId xmlns:a16="http://schemas.microsoft.com/office/drawing/2014/main" id="{00000000-0008-0000-0900-00008A000000}"/>
              </a:ext>
            </a:extLst>
          </xdr:cNvPr>
          <xdr:cNvSpPr/>
        </xdr:nvSpPr>
        <xdr:spPr>
          <a:xfrm>
            <a:off x="8987136" y="9228997"/>
            <a:ext cx="537176"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39" name="弧線 138" descr="括號行">
            <a:extLst>
              <a:ext uri="{FF2B5EF4-FFF2-40B4-BE49-F238E27FC236}">
                <a16:creationId xmlns:a16="http://schemas.microsoft.com/office/drawing/2014/main" id="{00000000-0008-0000-0900-00008B000000}"/>
              </a:ext>
            </a:extLst>
          </xdr:cNvPr>
          <xdr:cNvSpPr/>
        </xdr:nvSpPr>
        <xdr:spPr>
          <a:xfrm flipH="1">
            <a:off x="9524312" y="9220181"/>
            <a:ext cx="537176"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11" name="步驟" descr="水平座標軸">
            <a:extLst>
              <a:ext uri="{FF2B5EF4-FFF2-40B4-BE49-F238E27FC236}">
                <a16:creationId xmlns:a16="http://schemas.microsoft.com/office/drawing/2014/main" id="{00000000-0008-0000-0900-00006F000000}"/>
              </a:ext>
            </a:extLst>
          </xdr:cNvPr>
          <xdr:cNvSpPr txBox="1"/>
        </xdr:nvSpPr>
        <xdr:spPr>
          <a:xfrm>
            <a:off x="8010525" y="9337507"/>
            <a:ext cx="30909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水平座標軸</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110" name="步驟" descr="垂直座標軸">
            <a:extLst>
              <a:ext uri="{FF2B5EF4-FFF2-40B4-BE49-F238E27FC236}">
                <a16:creationId xmlns:a16="http://schemas.microsoft.com/office/drawing/2014/main" id="{00000000-0008-0000-0900-00006E000000}"/>
              </a:ext>
            </a:extLst>
          </xdr:cNvPr>
          <xdr:cNvSpPr txBox="1"/>
        </xdr:nvSpPr>
        <xdr:spPr>
          <a:xfrm>
            <a:off x="6048375" y="7718257"/>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垂直座標軸</a:t>
            </a:r>
          </a:p>
        </xdr:txBody>
      </xdr:sp>
      <xdr:sp macro="" textlink="">
        <xdr:nvSpPr>
          <xdr:cNvPr id="115" name="步驟" descr="數值座標軸">
            <a:extLst>
              <a:ext uri="{FF2B5EF4-FFF2-40B4-BE49-F238E27FC236}">
                <a16:creationId xmlns:a16="http://schemas.microsoft.com/office/drawing/2014/main" id="{00000000-0008-0000-0900-000073000000}"/>
              </a:ext>
            </a:extLst>
          </xdr:cNvPr>
          <xdr:cNvSpPr txBox="1"/>
        </xdr:nvSpPr>
        <xdr:spPr>
          <a:xfrm>
            <a:off x="6048375" y="7861132"/>
            <a:ext cx="1224012" cy="334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(數值座標軸)</a:t>
            </a:r>
          </a:p>
        </xdr:txBody>
      </xdr:sp>
      <xdr:sp macro="" textlink="">
        <xdr:nvSpPr>
          <xdr:cNvPr id="142" name="手繪多邊形：圖案 141" descr="括號行">
            <a:extLst>
              <a:ext uri="{FF2B5EF4-FFF2-40B4-BE49-F238E27FC236}">
                <a16:creationId xmlns:a16="http://schemas.microsoft.com/office/drawing/2014/main" id="{00000000-0008-0000-0900-00008E000000}"/>
              </a:ext>
            </a:extLst>
          </xdr:cNvPr>
          <xdr:cNvSpPr/>
        </xdr:nvSpPr>
        <xdr:spPr>
          <a:xfrm rot="10800000">
            <a:off x="7121654" y="7987498"/>
            <a:ext cx="181608" cy="80408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3" name="手繪多邊形：圖案 142" descr="括號行">
            <a:extLst>
              <a:ext uri="{FF2B5EF4-FFF2-40B4-BE49-F238E27FC236}">
                <a16:creationId xmlns:a16="http://schemas.microsoft.com/office/drawing/2014/main" id="{00000000-0008-0000-0900-00008F000000}"/>
              </a:ext>
            </a:extLst>
          </xdr:cNvPr>
          <xdr:cNvSpPr/>
        </xdr:nvSpPr>
        <xdr:spPr>
          <a:xfrm flipH="1">
            <a:off x="7120941" y="7011053"/>
            <a:ext cx="183793" cy="804642"/>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4" name="弧線 143" descr="括號行">
            <a:extLst>
              <a:ext uri="{FF2B5EF4-FFF2-40B4-BE49-F238E27FC236}">
                <a16:creationId xmlns:a16="http://schemas.microsoft.com/office/drawing/2014/main" id="{00000000-0008-0000-0900-000090000000}"/>
              </a:ext>
            </a:extLst>
          </xdr:cNvPr>
          <xdr:cNvSpPr/>
        </xdr:nvSpPr>
        <xdr:spPr>
          <a:xfrm rot="5400000">
            <a:off x="6890772" y="7677738"/>
            <a:ext cx="263441"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45" name="弧線 144" descr="括號行">
            <a:extLst>
              <a:ext uri="{FF2B5EF4-FFF2-40B4-BE49-F238E27FC236}">
                <a16:creationId xmlns:a16="http://schemas.microsoft.com/office/drawing/2014/main" id="{00000000-0008-0000-0900-000091000000}"/>
              </a:ext>
            </a:extLst>
          </xdr:cNvPr>
          <xdr:cNvSpPr/>
        </xdr:nvSpPr>
        <xdr:spPr>
          <a:xfrm rot="5400000" flipH="1">
            <a:off x="6892976" y="7934567"/>
            <a:ext cx="263441"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grpSp>
    <xdr:clientData/>
  </xdr:twoCellAnchor>
  <xdr:twoCellAnchor editAs="oneCell">
    <xdr:from>
      <xdr:col>0</xdr:col>
      <xdr:colOff>390525</xdr:colOff>
      <xdr:row>66</xdr:row>
      <xdr:rowOff>171450</xdr:rowOff>
    </xdr:from>
    <xdr:to>
      <xdr:col>1</xdr:col>
      <xdr:colOff>5073650</xdr:colOff>
      <xdr:row>84</xdr:row>
      <xdr:rowOff>9525</xdr:rowOff>
    </xdr:to>
    <xdr:grpSp>
      <xdr:nvGrpSpPr>
        <xdr:cNvPr id="146" name="網路上的更多資訊" descr="More information on the web, contains links to the web&#10;Back to top&#10;Next step">
          <a:extLst>
            <a:ext uri="{FF2B5EF4-FFF2-40B4-BE49-F238E27FC236}">
              <a16:creationId xmlns:a16="http://schemas.microsoft.com/office/drawing/2014/main" id="{00000000-0008-0000-0900-000092000000}"/>
            </a:ext>
          </a:extLst>
        </xdr:cNvPr>
        <xdr:cNvGrpSpPr/>
      </xdr:nvGrpSpPr>
      <xdr:grpSpPr>
        <a:xfrm>
          <a:off x="390525" y="13315950"/>
          <a:ext cx="5778500" cy="3267075"/>
          <a:chOff x="0" y="0"/>
          <a:chExt cx="5695950" cy="3267075"/>
        </a:xfrm>
      </xdr:grpSpPr>
      <xdr:sp macro="" textlink="">
        <xdr:nvSpPr>
          <xdr:cNvPr id="147" name="矩形 146" descr="背景">
            <a:extLst>
              <a:ext uri="{FF2B5EF4-FFF2-40B4-BE49-F238E27FC236}">
                <a16:creationId xmlns:a16="http://schemas.microsoft.com/office/drawing/2014/main" id="{00000000-0008-0000-0900-000093000000}"/>
              </a:ext>
            </a:extLst>
          </xdr:cNvPr>
          <xdr:cNvSpPr/>
        </xdr:nvSpPr>
        <xdr:spPr>
          <a:xfrm>
            <a:off x="0" y="0"/>
            <a:ext cx="5695950" cy="32670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48" name="步驟" descr="Web 上的更多資訊">
            <a:extLst>
              <a:ext uri="{FF2B5EF4-FFF2-40B4-BE49-F238E27FC236}">
                <a16:creationId xmlns:a16="http://schemas.microsoft.com/office/drawing/2014/main" id="{00000000-0008-0000-0900-000094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49" name="直線接點​​ 148" descr="裝飾線條">
            <a:extLst>
              <a:ext uri="{FF2B5EF4-FFF2-40B4-BE49-F238E27FC236}">
                <a16:creationId xmlns:a16="http://schemas.microsoft.com/office/drawing/2014/main" id="{00000000-0008-0000-0900-000095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0" name="[下一步] 按鈕" descr="回到頁首，附有移至儲存格 A1 的超連結">
            <a:hlinkClick xmlns:r="http://schemas.openxmlformats.org/officeDocument/2006/relationships" r:id="rId7" tooltip="選取以回到此工作表中的儲存格 A1"/>
            <a:extLst>
              <a:ext uri="{FF2B5EF4-FFF2-40B4-BE49-F238E27FC236}">
                <a16:creationId xmlns:a16="http://schemas.microsoft.com/office/drawing/2014/main" id="{00000000-0008-0000-0900-000096000000}"/>
              </a:ext>
            </a:extLst>
          </xdr:cNvPr>
          <xdr:cNvSpPr/>
        </xdr:nvSpPr>
        <xdr:spPr>
          <a:xfrm>
            <a:off x="234924" y="2502776"/>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51" name="直線接點 150" descr="裝飾線條">
            <a:extLst>
              <a:ext uri="{FF2B5EF4-FFF2-40B4-BE49-F238E27FC236}">
                <a16:creationId xmlns:a16="http://schemas.microsoft.com/office/drawing/2014/main" id="{00000000-0008-0000-0900-000097000000}"/>
              </a:ext>
            </a:extLst>
          </xdr:cNvPr>
          <xdr:cNvCxnSpPr>
            <a:cxnSpLocks/>
          </xdr:cNvCxnSpPr>
        </xdr:nvCxnSpPr>
        <xdr:spPr>
          <a:xfrm>
            <a:off x="234924" y="225742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52" name="[下一步] 按鈕" descr="[下一步] 按鈕，附有移至下一個工作表的超連結">
            <a:hlinkClick xmlns:r="http://schemas.openxmlformats.org/officeDocument/2006/relationships" r:id="rId4" tooltip="選取以移至下一步"/>
            <a:extLst>
              <a:ext uri="{FF2B5EF4-FFF2-40B4-BE49-F238E27FC236}">
                <a16:creationId xmlns:a16="http://schemas.microsoft.com/office/drawing/2014/main" id="{00000000-0008-0000-0900-000098000000}"/>
              </a:ext>
            </a:extLst>
          </xdr:cNvPr>
          <xdr:cNvSpPr/>
        </xdr:nvSpPr>
        <xdr:spPr>
          <a:xfrm>
            <a:off x="4293870" y="2693277"/>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53" name="步驟" descr="建立圖表的完整流程，附有移至 Web 的超連結">
            <a:hlinkClick xmlns:r="http://schemas.openxmlformats.org/officeDocument/2006/relationships" r:id="rId8" tooltip="選取以從 Web 了解建立圖表的完整流程"/>
            <a:extLst>
              <a:ext uri="{FF2B5EF4-FFF2-40B4-BE49-F238E27FC236}">
                <a16:creationId xmlns:a16="http://schemas.microsoft.com/office/drawing/2014/main" id="{00000000-0008-0000-0900-000099000000}"/>
              </a:ext>
            </a:extLst>
          </xdr:cNvPr>
          <xdr:cNvSpPr txBox="1"/>
        </xdr:nvSpPr>
        <xdr:spPr>
          <a:xfrm>
            <a:off x="638783" y="794849"/>
            <a:ext cx="2275867"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建立圖表的完整流程</a:t>
            </a:r>
          </a:p>
        </xdr:txBody>
      </xdr:sp>
      <xdr:pic>
        <xdr:nvPicPr>
          <xdr:cNvPr id="154"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900-00009A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699572"/>
            <a:ext cx="454554" cy="448472"/>
          </a:xfrm>
          <a:prstGeom prst="rect">
            <a:avLst/>
          </a:prstGeom>
        </xdr:spPr>
      </xdr:pic>
      <xdr:sp macro="" textlink="">
        <xdr:nvSpPr>
          <xdr:cNvPr id="155" name="步驟" descr="建立含有副座標軸的組合式圖表，附有移至 Web 的超連結">
            <a:hlinkClick xmlns:r="http://schemas.openxmlformats.org/officeDocument/2006/relationships" r:id="rId11" tooltip="選取以從 Web 了解如何建立含有副座標軸的組合式圖表"/>
            <a:extLst>
              <a:ext uri="{FF2B5EF4-FFF2-40B4-BE49-F238E27FC236}">
                <a16:creationId xmlns:a16="http://schemas.microsoft.com/office/drawing/2014/main" id="{00000000-0008-0000-0900-00009B000000}"/>
              </a:ext>
            </a:extLst>
          </xdr:cNvPr>
          <xdr:cNvSpPr txBox="1"/>
        </xdr:nvSpPr>
        <xdr:spPr>
          <a:xfrm>
            <a:off x="638783" y="1259456"/>
            <a:ext cx="301881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建立含有副座標軸的組合式圖表</a:t>
            </a:r>
          </a:p>
        </xdr:txBody>
      </xdr:sp>
      <xdr:pic>
        <xdr:nvPicPr>
          <xdr:cNvPr id="156" name="圖形 22" descr="箭號">
            <a:hlinkClick xmlns:r="http://schemas.openxmlformats.org/officeDocument/2006/relationships" r:id="rId11" tooltip="選取以從網路深入了解"/>
            <a:extLst>
              <a:ext uri="{FF2B5EF4-FFF2-40B4-BE49-F238E27FC236}">
                <a16:creationId xmlns:a16="http://schemas.microsoft.com/office/drawing/2014/main" id="{00000000-0008-0000-0900-00009C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157426"/>
            <a:ext cx="454554" cy="448472"/>
          </a:xfrm>
          <a:prstGeom prst="rect">
            <a:avLst/>
          </a:prstGeom>
        </xdr:spPr>
      </xdr:pic>
      <xdr:sp macro="" textlink="">
        <xdr:nvSpPr>
          <xdr:cNvPr id="157" name="步驟" descr="Office 中可用的圖表類型，附有移至 Web 的超連結">
            <a:hlinkClick xmlns:r="http://schemas.openxmlformats.org/officeDocument/2006/relationships" r:id="rId12" tooltip="選取以從 Web 了解 Office 中可用的圖表類型"/>
            <a:extLst>
              <a:ext uri="{FF2B5EF4-FFF2-40B4-BE49-F238E27FC236}">
                <a16:creationId xmlns:a16="http://schemas.microsoft.com/office/drawing/2014/main" id="{00000000-0008-0000-0900-00009D000000}"/>
              </a:ext>
            </a:extLst>
          </xdr:cNvPr>
          <xdr:cNvSpPr txBox="1"/>
        </xdr:nvSpPr>
        <xdr:spPr>
          <a:xfrm>
            <a:off x="638783" y="1726622"/>
            <a:ext cx="2085367"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Office 中可用的圖表類型</a:t>
            </a:r>
          </a:p>
        </xdr:txBody>
      </xdr:sp>
      <xdr:pic>
        <xdr:nvPicPr>
          <xdr:cNvPr id="158" name="圖形 22" descr="箭號">
            <a:hlinkClick xmlns:r="http://schemas.openxmlformats.org/officeDocument/2006/relationships" r:id="rId12" tooltip="選取以從網路深入了解"/>
            <a:extLst>
              <a:ext uri="{FF2B5EF4-FFF2-40B4-BE49-F238E27FC236}">
                <a16:creationId xmlns:a16="http://schemas.microsoft.com/office/drawing/2014/main" id="{00000000-0008-0000-0900-00009E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11503" y="1624592"/>
            <a:ext cx="454554" cy="448472"/>
          </a:xfrm>
          <a:prstGeom prst="rect">
            <a:avLst/>
          </a:prstGeom>
        </xdr:spPr>
      </xdr:pic>
    </xdr:grpSp>
    <xdr:clientData/>
  </xdr:twoCellAnchor>
  <xdr:twoCellAnchor editAs="oneCell">
    <xdr:from>
      <xdr:col>6</xdr:col>
      <xdr:colOff>104774</xdr:colOff>
      <xdr:row>67</xdr:row>
      <xdr:rowOff>57149</xdr:rowOff>
    </xdr:from>
    <xdr:to>
      <xdr:col>7</xdr:col>
      <xdr:colOff>704850</xdr:colOff>
      <xdr:row>73</xdr:row>
      <xdr:rowOff>57150</xdr:rowOff>
    </xdr:to>
    <xdr:grpSp>
      <xdr:nvGrpSpPr>
        <xdr:cNvPr id="2" name="副座標軸資料" descr="支援上述副座標軸的資料">
          <a:extLst>
            <a:ext uri="{FF2B5EF4-FFF2-40B4-BE49-F238E27FC236}">
              <a16:creationId xmlns:a16="http://schemas.microsoft.com/office/drawing/2014/main" id="{00000000-0008-0000-0900-000002000000}"/>
            </a:ext>
          </a:extLst>
        </xdr:cNvPr>
        <xdr:cNvGrpSpPr/>
      </xdr:nvGrpSpPr>
      <xdr:grpSpPr>
        <a:xfrm>
          <a:off x="12477749" y="13392149"/>
          <a:ext cx="1362076" cy="1143001"/>
          <a:chOff x="11627124" y="13830299"/>
          <a:chExt cx="1262412" cy="1143001"/>
        </a:xfrm>
      </xdr:grpSpPr>
      <xdr:sp macro="" textlink="">
        <xdr:nvSpPr>
          <xdr:cNvPr id="160" name="手繪多邊形：圖案 159" descr="括號行">
            <a:extLst>
              <a:ext uri="{FF2B5EF4-FFF2-40B4-BE49-F238E27FC236}">
                <a16:creationId xmlns:a16="http://schemas.microsoft.com/office/drawing/2014/main" id="{00000000-0008-0000-0900-0000A0000000}"/>
              </a:ext>
            </a:extLst>
          </xdr:cNvPr>
          <xdr:cNvSpPr/>
        </xdr:nvSpPr>
        <xdr:spPr>
          <a:xfrm>
            <a:off x="11638122" y="13830299"/>
            <a:ext cx="181608" cy="468860"/>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1" name="手繪多邊形：圖案 160" descr="括號行">
            <a:extLst>
              <a:ext uri="{FF2B5EF4-FFF2-40B4-BE49-F238E27FC236}">
                <a16:creationId xmlns:a16="http://schemas.microsoft.com/office/drawing/2014/main" id="{00000000-0008-0000-0900-0000A1000000}"/>
              </a:ext>
            </a:extLst>
          </xdr:cNvPr>
          <xdr:cNvSpPr/>
        </xdr:nvSpPr>
        <xdr:spPr>
          <a:xfrm rot="10800000" flipH="1">
            <a:off x="11627124" y="14399337"/>
            <a:ext cx="183793" cy="469187"/>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2" name="弧線 161" descr="括號行">
            <a:extLst>
              <a:ext uri="{FF2B5EF4-FFF2-40B4-BE49-F238E27FC236}">
                <a16:creationId xmlns:a16="http://schemas.microsoft.com/office/drawing/2014/main" id="{00000000-0008-0000-0900-0000A2000000}"/>
              </a:ext>
            </a:extLst>
          </xdr:cNvPr>
          <xdr:cNvSpPr/>
        </xdr:nvSpPr>
        <xdr:spPr>
          <a:xfrm rot="16200000">
            <a:off x="11842084" y="14306264"/>
            <a:ext cx="153613"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3" name="弧線 162" descr="括號行">
            <a:extLst>
              <a:ext uri="{FF2B5EF4-FFF2-40B4-BE49-F238E27FC236}">
                <a16:creationId xmlns:a16="http://schemas.microsoft.com/office/drawing/2014/main" id="{00000000-0008-0000-0900-0000A3000000}"/>
              </a:ext>
            </a:extLst>
          </xdr:cNvPr>
          <xdr:cNvSpPr/>
        </xdr:nvSpPr>
        <xdr:spPr>
          <a:xfrm rot="16200000" flipH="1">
            <a:off x="11839880" y="14146039"/>
            <a:ext cx="153613"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rtl="0"/>
            <a:endParaRPr lang="en-US" sz="1100">
              <a:solidFill>
                <a:schemeClr val="lt1"/>
              </a:solidFill>
              <a:latin typeface="Microsoft JhengHei UI" panose="020B0604030504040204" pitchFamily="34" charset="-120"/>
              <a:ea typeface="Microsoft JhengHei UI" panose="020B0604030504040204" pitchFamily="34" charset="-120"/>
              <a:cs typeface="+mn-cs"/>
            </a:endParaRPr>
          </a:p>
        </xdr:txBody>
      </xdr:sp>
      <xdr:sp macro="" textlink="">
        <xdr:nvSpPr>
          <xdr:cNvPr id="164" name="步驟" descr="支援上述副座標軸的資料">
            <a:extLst>
              <a:ext uri="{FF2B5EF4-FFF2-40B4-BE49-F238E27FC236}">
                <a16:creationId xmlns:a16="http://schemas.microsoft.com/office/drawing/2014/main" id="{00000000-0008-0000-0900-0000A4000000}"/>
              </a:ext>
            </a:extLst>
          </xdr:cNvPr>
          <xdr:cNvSpPr txBox="1"/>
        </xdr:nvSpPr>
        <xdr:spPr>
          <a:xfrm>
            <a:off x="11849100" y="14058900"/>
            <a:ext cx="1040436"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支援上述副座標軸的資料</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grpSp>
    <xdr:clientData/>
  </xdr:twoCellAnchor>
  <xdr:twoCellAnchor editAs="oneCell">
    <xdr:from>
      <xdr:col>2</xdr:col>
      <xdr:colOff>724558</xdr:colOff>
      <xdr:row>74</xdr:row>
      <xdr:rowOff>0</xdr:rowOff>
    </xdr:from>
    <xdr:to>
      <xdr:col>4</xdr:col>
      <xdr:colOff>962024</xdr:colOff>
      <xdr:row>82</xdr:row>
      <xdr:rowOff>171450</xdr:rowOff>
    </xdr:to>
    <xdr:grpSp>
      <xdr:nvGrpSpPr>
        <xdr:cNvPr id="3" name="祕笈" descr="祕笈：嘗試建立組合式圖表。選取上方的資料，然後按一下 [插入] &gt; [建議圖表]。按一下頂端的 [所有圖表] 索引標籤，然後按一下底部的 [組合式]。在右側，按一下 [食物銷售] 的 [副座標軸] 核取方塊">
          <a:extLst>
            <a:ext uri="{FF2B5EF4-FFF2-40B4-BE49-F238E27FC236}">
              <a16:creationId xmlns:a16="http://schemas.microsoft.com/office/drawing/2014/main" id="{00000000-0008-0000-0900-000003000000}"/>
            </a:ext>
          </a:extLst>
        </xdr:cNvPr>
        <xdr:cNvGrpSpPr/>
      </xdr:nvGrpSpPr>
      <xdr:grpSpPr>
        <a:xfrm>
          <a:off x="7268233" y="14668500"/>
          <a:ext cx="3247366" cy="1695450"/>
          <a:chOff x="7096125" y="15201900"/>
          <a:chExt cx="3000375" cy="1695450"/>
        </a:xfrm>
      </xdr:grpSpPr>
      <xdr:sp macro="" textlink="">
        <xdr:nvSpPr>
          <xdr:cNvPr id="165" name="步驟" descr="EXTRA CREDIT&#10;Try making a combo chart. Select the data above, and then click Insert &gt; Recommended Charts. At the top, click the All Charts tab, and then click Combo at the bottom. On the right, click the Secondary Axis checkbox for Food sales">
            <a:extLst>
              <a:ext uri="{FF2B5EF4-FFF2-40B4-BE49-F238E27FC236}">
                <a16:creationId xmlns:a16="http://schemas.microsoft.com/office/drawing/2014/main" id="{00000000-0008-0000-0900-0000A5000000}"/>
              </a:ext>
            </a:extLst>
          </xdr:cNvPr>
          <xdr:cNvSpPr txBox="1"/>
        </xdr:nvSpPr>
        <xdr:spPr>
          <a:xfrm>
            <a:off x="7455706" y="15201900"/>
            <a:ext cx="2640794" cy="1695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200" b="1" kern="0">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rPr>
              <a:t>祕笈</a:t>
            </a:r>
            <a:endParaRPr lang="en-US" sz="1200" b="1">
              <a:solidFill>
                <a:srgbClr val="ED7D31">
                  <a:lumMod val="60000"/>
                  <a:lumOff val="40000"/>
                </a:srgb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a:p>
            <a:pPr lvl="0" rtl="0">
              <a:defRPr/>
            </a:pPr>
            <a:r>
              <a:rPr lang="zh-tw" sz="11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嘗試建立組合式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圖表。選取上方的資料，然後按一下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[插入]</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&gt;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[建議圖表]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。按一下頂端的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[所有圖表]</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索引標籤，然後按一下底部的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[組合式]</a:t>
            </a:r>
            <a:r>
              <a:rPr lang="zh-tw" sz="110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。在右側，按一下 </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[食物銷售]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的</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 </a:t>
            </a:r>
            <a:r>
              <a:rPr lang="zh-tw" sz="1100" b="0"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[副座標軸] 核取方塊</a:t>
            </a:r>
            <a:r>
              <a:rPr lang="zh-tw" sz="1100" b="1" kern="0" baseline="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a:t>
            </a:r>
            <a:endParaRPr lang="en-US" sz="1100" b="0" i="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pic>
        <xdr:nvPicPr>
          <xdr:cNvPr id="166" name="圖形 263" descr="功能區">
            <a:extLst>
              <a:ext uri="{FF2B5EF4-FFF2-40B4-BE49-F238E27FC236}">
                <a16:creationId xmlns:a16="http://schemas.microsoft.com/office/drawing/2014/main" id="{00000000-0008-0000-0900-0000A6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96125" y="15256726"/>
            <a:ext cx="457020" cy="439736"/>
          </a:xfrm>
          <a:prstGeom prst="rect">
            <a:avLst/>
          </a:prstGeom>
        </xdr:spPr>
      </xdr:pic>
    </xdr:grp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333375</xdr:colOff>
      <xdr:row>0</xdr:row>
      <xdr:rowOff>266700</xdr:rowOff>
    </xdr:from>
    <xdr:to>
      <xdr:col>1</xdr:col>
      <xdr:colOff>5016500</xdr:colOff>
      <xdr:row>23</xdr:row>
      <xdr:rowOff>123825</xdr:rowOff>
    </xdr:to>
    <xdr:grpSp>
      <xdr:nvGrpSpPr>
        <xdr:cNvPr id="97" name="使用樞紐分析表對資料進行摘要" descr="Summarize data with PivotTables&#10;Look at the Date, Salesperson, Product and Amount columns. Can you quickly identify which product is the most profitable? Or which salesperson is the leading seller? That’s where the PivotTable below can help.&#10;When we created the PivotTable, we clicked a few buttons so that the data could be summarized. Now we know which product is the most profitable.&#10;Now you’ll pivot the data so that you can find out which salesperson is the leading seller.  Right-click any cell inside the PivotTable, and then click Show Field List. &#10;The PivotTable Fields pane appears. At the bottom of the pane, under Rows, click Product and then click Remove Field.&#10;At the top of the pane, click the checkbox for Salesperson. Now you can see who’s the leading salesperson&#10;Dive down for more detail &#10;Next step">
          <a:extLst>
            <a:ext uri="{FF2B5EF4-FFF2-40B4-BE49-F238E27FC236}">
              <a16:creationId xmlns:a16="http://schemas.microsoft.com/office/drawing/2014/main" id="{00000000-0008-0000-0A00-000061000000}"/>
            </a:ext>
          </a:extLst>
        </xdr:cNvPr>
        <xdr:cNvGrpSpPr/>
      </xdr:nvGrpSpPr>
      <xdr:grpSpPr>
        <a:xfrm>
          <a:off x="333375" y="266700"/>
          <a:ext cx="5778500" cy="4810125"/>
          <a:chOff x="0" y="52174"/>
          <a:chExt cx="5695950" cy="4810125"/>
        </a:xfrm>
      </xdr:grpSpPr>
      <xdr:sp macro="" textlink="">
        <xdr:nvSpPr>
          <xdr:cNvPr id="98" name="矩形 97" descr="背景">
            <a:extLst>
              <a:ext uri="{FF2B5EF4-FFF2-40B4-BE49-F238E27FC236}">
                <a16:creationId xmlns:a16="http://schemas.microsoft.com/office/drawing/2014/main" id="{00000000-0008-0000-0A00-000062000000}"/>
              </a:ext>
            </a:extLst>
          </xdr:cNvPr>
          <xdr:cNvSpPr/>
        </xdr:nvSpPr>
        <xdr:spPr>
          <a:xfrm>
            <a:off x="0" y="52174"/>
            <a:ext cx="5695950" cy="48101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99" name="步驟" descr="使用樞紐分析表對資料進行摘要">
            <a:extLst>
              <a:ext uri="{FF2B5EF4-FFF2-40B4-BE49-F238E27FC236}">
                <a16:creationId xmlns:a16="http://schemas.microsoft.com/office/drawing/2014/main" id="{00000000-0008-0000-0A00-000063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2200" kern="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rPr>
              <a:t>使用樞紐分析表對資料進行摘要</a:t>
            </a:r>
            <a:endParaRPr lang="en-US" sz="2200">
              <a:solidFill>
                <a:schemeClr val="bg2">
                  <a:lumMod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00" name="直線接點 99" descr="裝飾線條">
            <a:extLst>
              <a:ext uri="{FF2B5EF4-FFF2-40B4-BE49-F238E27FC236}">
                <a16:creationId xmlns:a16="http://schemas.microsoft.com/office/drawing/2014/main" id="{00000000-0008-0000-0A00-000064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下一步] 按鈕" descr="向下瀏覽以取得更多詳細資料">
            <a:hlinkClick xmlns:r="http://schemas.openxmlformats.org/officeDocument/2006/relationships" r:id="rId1"/>
            <a:extLst>
              <a:ext uri="{FF2B5EF4-FFF2-40B4-BE49-F238E27FC236}">
                <a16:creationId xmlns:a16="http://schemas.microsoft.com/office/drawing/2014/main" id="{00000000-0008-0000-0A00-000065000000}"/>
              </a:ext>
            </a:extLst>
          </xdr:cNvPr>
          <xdr:cNvSpPr/>
        </xdr:nvSpPr>
        <xdr:spPr>
          <a:xfrm>
            <a:off x="234924" y="4129356"/>
            <a:ext cx="2723067" cy="53645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向下瀏覽以取得更多詳細資料</a:t>
            </a:r>
          </a:p>
        </xdr:txBody>
      </xdr:sp>
      <xdr:cxnSp macro="">
        <xdr:nvCxnSpPr>
          <xdr:cNvPr id="102" name="直線接點 101" descr="裝飾線條">
            <a:extLst>
              <a:ext uri="{FF2B5EF4-FFF2-40B4-BE49-F238E27FC236}">
                <a16:creationId xmlns:a16="http://schemas.microsoft.com/office/drawing/2014/main" id="{00000000-0008-0000-0A00-000066000000}"/>
              </a:ext>
            </a:extLst>
          </xdr:cNvPr>
          <xdr:cNvCxnSpPr>
            <a:cxnSpLocks/>
          </xdr:cNvCxnSpPr>
        </xdr:nvCxnSpPr>
        <xdr:spPr>
          <a:xfrm>
            <a:off x="234924" y="3905072"/>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3"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A00-000067000000}"/>
              </a:ext>
            </a:extLst>
          </xdr:cNvPr>
          <xdr:cNvSpPr/>
        </xdr:nvSpPr>
        <xdr:spPr>
          <a:xfrm>
            <a:off x="4293870" y="4129356"/>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04" name="步驟" descr="查看 [日期]、[銷售人員]、[產品] 和 [金額] 欄。您可以快速識別哪項產品的獲利最豐厚嗎？或是哪個銷售人員的業績最高嗎？下方的樞紐分析表可協助識別這些資訊">
            <a:extLst>
              <a:ext uri="{FF2B5EF4-FFF2-40B4-BE49-F238E27FC236}">
                <a16:creationId xmlns:a16="http://schemas.microsoft.com/office/drawing/2014/main" id="{00000000-0008-0000-0A00-000068000000}"/>
              </a:ext>
            </a:extLst>
          </xdr:cNvPr>
          <xdr:cNvSpPr txBox="1"/>
        </xdr:nvSpPr>
        <xdr:spPr>
          <a:xfrm>
            <a:off x="638783" y="814277"/>
            <a:ext cx="4809516" cy="638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查看 [日期]、[銷售人員]、[產品] 和 [金額] 欄。您可以快速識別哪項產品的獲利最豐厚嗎？或是哪個銷售人員的業績最高嗎？下方的樞紐分析表可協助識別這些資訊。</a:t>
            </a:r>
          </a:p>
        </xdr:txBody>
      </xdr:sp>
      <xdr:sp macro="" textlink="">
        <xdr:nvSpPr>
          <xdr:cNvPr id="105" name="橢圓​​ 104" descr="1">
            <a:extLst>
              <a:ext uri="{FF2B5EF4-FFF2-40B4-BE49-F238E27FC236}">
                <a16:creationId xmlns:a16="http://schemas.microsoft.com/office/drawing/2014/main" id="{00000000-0008-0000-0A00-000069000000}"/>
              </a:ext>
            </a:extLst>
          </xdr:cNvPr>
          <xdr:cNvSpPr/>
        </xdr:nvSpPr>
        <xdr:spPr>
          <a:xfrm>
            <a:off x="231749" y="77177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06" name="步驟" descr="建立樞紐分析表後，我們按幾個按鈕來對資料進行摘要。現在，我們知道哪項產品的獲利最豐厚">
            <a:extLst>
              <a:ext uri="{FF2B5EF4-FFF2-40B4-BE49-F238E27FC236}">
                <a16:creationId xmlns:a16="http://schemas.microsoft.com/office/drawing/2014/main" id="{00000000-0008-0000-0A00-00006A000000}"/>
              </a:ext>
            </a:extLst>
          </xdr:cNvPr>
          <xdr:cNvSpPr txBox="1"/>
        </xdr:nvSpPr>
        <xdr:spPr>
          <a:xfrm>
            <a:off x="638783" y="1655257"/>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建立樞紐分析表後，我們按幾個按鈕來對資料進行摘要。現在，我們知道哪項產品的獲利最豐厚。 </a:t>
            </a:r>
          </a:p>
        </xdr:txBody>
      </xdr:sp>
      <xdr:sp macro="" textlink="">
        <xdr:nvSpPr>
          <xdr:cNvPr id="107" name="橢圓​​ 106" descr="2">
            <a:extLst>
              <a:ext uri="{FF2B5EF4-FFF2-40B4-BE49-F238E27FC236}">
                <a16:creationId xmlns:a16="http://schemas.microsoft.com/office/drawing/2014/main" id="{00000000-0008-0000-0A00-00006B000000}"/>
              </a:ext>
            </a:extLst>
          </xdr:cNvPr>
          <xdr:cNvSpPr/>
        </xdr:nvSpPr>
        <xdr:spPr>
          <a:xfrm>
            <a:off x="231749" y="1612758"/>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08" name="步驟" descr="Now you’ll pivot the data so that you can find out which salesperson is the leading seller.  Click any cell inside the PivotTable, and then click Show Field List">
            <a:extLst>
              <a:ext uri="{FF2B5EF4-FFF2-40B4-BE49-F238E27FC236}">
                <a16:creationId xmlns:a16="http://schemas.microsoft.com/office/drawing/2014/main" id="{00000000-0008-0000-0A00-00006C000000}"/>
              </a:ext>
            </a:extLst>
          </xdr:cNvPr>
          <xdr:cNvSpPr txBox="1"/>
        </xdr:nvSpPr>
        <xdr:spPr>
          <a:xfrm>
            <a:off x="638783" y="2159901"/>
            <a:ext cx="4809516" cy="6640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現在，您將對資料進行樞紐分析，以便找出業績最高的銷售人員。在樞紐分析表內以滑鼠右鍵按一下任何儲存格，然後按一下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[顯示欄位清單]。 </a:t>
            </a:r>
          </a:p>
        </xdr:txBody>
      </xdr:sp>
      <xdr:sp macro="" textlink="">
        <xdr:nvSpPr>
          <xdr:cNvPr id="109" name="橢圓​​ 108" descr="3">
            <a:extLst>
              <a:ext uri="{FF2B5EF4-FFF2-40B4-BE49-F238E27FC236}">
                <a16:creationId xmlns:a16="http://schemas.microsoft.com/office/drawing/2014/main" id="{00000000-0008-0000-0A00-00006D000000}"/>
              </a:ext>
            </a:extLst>
          </xdr:cNvPr>
          <xdr:cNvSpPr/>
        </xdr:nvSpPr>
        <xdr:spPr>
          <a:xfrm>
            <a:off x="231749" y="2117403"/>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0" name="步驟" descr="[樞紐分析表欄位] 窗格隨即顯示。在窗格底部的 [列] 底下，按一下 [產品]，然後按一下 [移除欄位]">
            <a:extLst>
              <a:ext uri="{FF2B5EF4-FFF2-40B4-BE49-F238E27FC236}">
                <a16:creationId xmlns:a16="http://schemas.microsoft.com/office/drawing/2014/main" id="{00000000-0008-0000-0A00-00006E000000}"/>
              </a:ext>
            </a:extLst>
          </xdr:cNvPr>
          <xdr:cNvSpPr txBox="1"/>
        </xdr:nvSpPr>
        <xdr:spPr>
          <a:xfrm>
            <a:off x="638783" y="2823420"/>
            <a:ext cx="4809516" cy="5397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[樞紐分析表欄位]</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窗格會隨即顯示。</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在窗格底部的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[列]</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底下，按一下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[產品]</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[移除欄位]</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11" name="橢圓​​ 110" descr="4">
            <a:extLst>
              <a:ext uri="{FF2B5EF4-FFF2-40B4-BE49-F238E27FC236}">
                <a16:creationId xmlns:a16="http://schemas.microsoft.com/office/drawing/2014/main" id="{00000000-0008-0000-0A00-00006F000000}"/>
              </a:ext>
            </a:extLst>
          </xdr:cNvPr>
          <xdr:cNvSpPr/>
        </xdr:nvSpPr>
        <xdr:spPr>
          <a:xfrm>
            <a:off x="231749" y="278092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2" name="步驟" descr="在窗格頂端，按一下 [銷售人員] 的核取方塊。現在，您可以看到業績最高的銷售人員">
            <a:extLst>
              <a:ext uri="{FF2B5EF4-FFF2-40B4-BE49-F238E27FC236}">
                <a16:creationId xmlns:a16="http://schemas.microsoft.com/office/drawing/2014/main" id="{00000000-0008-0000-0A00-000070000000}"/>
              </a:ext>
            </a:extLst>
          </xdr:cNvPr>
          <xdr:cNvSpPr txBox="1"/>
        </xdr:nvSpPr>
        <xdr:spPr>
          <a:xfrm>
            <a:off x="638783" y="3345347"/>
            <a:ext cx="4809516" cy="488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[銷售人員]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現在，您可以看到業績最高的銷售人員。</a:t>
            </a:r>
          </a:p>
        </xdr:txBody>
      </xdr:sp>
      <xdr:sp macro="" textlink="">
        <xdr:nvSpPr>
          <xdr:cNvPr id="113" name="橢圓​​ 112" descr="5">
            <a:extLst>
              <a:ext uri="{FF2B5EF4-FFF2-40B4-BE49-F238E27FC236}">
                <a16:creationId xmlns:a16="http://schemas.microsoft.com/office/drawing/2014/main" id="{00000000-0008-0000-0A00-000071000000}"/>
              </a:ext>
            </a:extLst>
          </xdr:cNvPr>
          <xdr:cNvSpPr/>
        </xdr:nvSpPr>
        <xdr:spPr>
          <a:xfrm>
            <a:off x="231749" y="326301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b="1">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grpSp>
    <xdr:clientData/>
  </xdr:twoCellAnchor>
  <xdr:twoCellAnchor editAs="oneCell">
    <xdr:from>
      <xdr:col>0</xdr:col>
      <xdr:colOff>390525</xdr:colOff>
      <xdr:row>26</xdr:row>
      <xdr:rowOff>0</xdr:rowOff>
    </xdr:from>
    <xdr:to>
      <xdr:col>1</xdr:col>
      <xdr:colOff>5073650</xdr:colOff>
      <xdr:row>56</xdr:row>
      <xdr:rowOff>21772</xdr:rowOff>
    </xdr:to>
    <xdr:grpSp>
      <xdr:nvGrpSpPr>
        <xdr:cNvPr id="4" name="建立樞紐分析表" descr="Create a PivotTable&#10;Now you’ll create the PivotTable yourself so that you know how to make one when you need to summarize data.&#10;Click a cell inside the data on the right, and then on the Insert menu, click PivotTable.&#10;In the dialog that appears, click Existing Worksheet, and then type C42 in the Location box. Click OK&#10;The PivotTable Fields pane appears on the right.&#10;At the top of the pane, click the checkbox for Product.&#10;When you do that, the Product field gets added to the Rows area at the bottom of the pane. And, the product data appears as Row labels in the new PivotTable.&#10;At the top of the pane, click the checkbox for Amount.&#10;When you do that, the Amount field will get added to the Values area at the bottom of the pane. And, at the same time the amounts are totaled for each product in the PivotTable.&#10;Congratulations, you made a PivotTable. But there is a lot more you can do. So click the link at the bottom of this sheet if you want to learn more">
          <a:extLst>
            <a:ext uri="{FF2B5EF4-FFF2-40B4-BE49-F238E27FC236}">
              <a16:creationId xmlns:a16="http://schemas.microsoft.com/office/drawing/2014/main" id="{00000000-0008-0000-0A00-000004000000}"/>
            </a:ext>
          </a:extLst>
        </xdr:cNvPr>
        <xdr:cNvGrpSpPr/>
      </xdr:nvGrpSpPr>
      <xdr:grpSpPr>
        <a:xfrm>
          <a:off x="390525" y="5524500"/>
          <a:ext cx="5778500" cy="5736772"/>
          <a:chOff x="390525" y="5943600"/>
          <a:chExt cx="5695950" cy="5647502"/>
        </a:xfrm>
      </xdr:grpSpPr>
      <xdr:sp macro="" textlink="">
        <xdr:nvSpPr>
          <xdr:cNvPr id="124" name="矩形 123" descr="背景">
            <a:extLst>
              <a:ext uri="{FF2B5EF4-FFF2-40B4-BE49-F238E27FC236}">
                <a16:creationId xmlns:a16="http://schemas.microsoft.com/office/drawing/2014/main" id="{00000000-0008-0000-0A00-00007C000000}"/>
              </a:ext>
            </a:extLst>
          </xdr:cNvPr>
          <xdr:cNvSpPr/>
        </xdr:nvSpPr>
        <xdr:spPr>
          <a:xfrm>
            <a:off x="390525" y="5943600"/>
            <a:ext cx="5695950" cy="5647502"/>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25" name="步驟" descr="建立樞紐分析表">
            <a:extLst>
              <a:ext uri="{FF2B5EF4-FFF2-40B4-BE49-F238E27FC236}">
                <a16:creationId xmlns:a16="http://schemas.microsoft.com/office/drawing/2014/main" id="{00000000-0008-0000-0A00-00007D000000}"/>
              </a:ext>
            </a:extLst>
          </xdr:cNvPr>
          <xdr:cNvSpPr txBox="1"/>
        </xdr:nvSpPr>
        <xdr:spPr>
          <a:xfrm>
            <a:off x="622273" y="605037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kern="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建立樞紐分析表</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26" name="直線接點 125" descr="裝飾線條">
            <a:extLst>
              <a:ext uri="{FF2B5EF4-FFF2-40B4-BE49-F238E27FC236}">
                <a16:creationId xmlns:a16="http://schemas.microsoft.com/office/drawing/2014/main" id="{00000000-0008-0000-0A00-00007E000000}"/>
              </a:ext>
            </a:extLst>
          </xdr:cNvPr>
          <xdr:cNvCxnSpPr>
            <a:cxnSpLocks/>
          </xdr:cNvCxnSpPr>
        </xdr:nvCxnSpPr>
        <xdr:spPr>
          <a:xfrm>
            <a:off x="625449" y="655779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34" name="直線接點 133" descr="裝飾線條">
            <a:extLst>
              <a:ext uri="{FF2B5EF4-FFF2-40B4-BE49-F238E27FC236}">
                <a16:creationId xmlns:a16="http://schemas.microsoft.com/office/drawing/2014/main" id="{00000000-0008-0000-0A00-000086000000}"/>
              </a:ext>
            </a:extLst>
          </xdr:cNvPr>
          <xdr:cNvCxnSpPr>
            <a:cxnSpLocks/>
          </xdr:cNvCxnSpPr>
        </xdr:nvCxnSpPr>
        <xdr:spPr>
          <a:xfrm>
            <a:off x="625449" y="11267937"/>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7" name="步驟" descr="現在，您將自行建立樞紐分析表，以便需要對資料進行摘要時知道如何建立">
            <a:extLst>
              <a:ext uri="{FF2B5EF4-FFF2-40B4-BE49-F238E27FC236}">
                <a16:creationId xmlns:a16="http://schemas.microsoft.com/office/drawing/2014/main" id="{00000000-0008-0000-0A00-00007F000000}"/>
              </a:ext>
            </a:extLst>
          </xdr:cNvPr>
          <xdr:cNvSpPr txBox="1"/>
        </xdr:nvSpPr>
        <xdr:spPr>
          <a:xfrm>
            <a:off x="619125" y="6631401"/>
            <a:ext cx="5300938" cy="7884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現在，您將自行建立樞紐分析表，以便需要對資料進行摘要時知道如何建立。</a:t>
            </a:r>
          </a:p>
        </xdr:txBody>
      </xdr:sp>
      <xdr:sp macro="" textlink="">
        <xdr:nvSpPr>
          <xdr:cNvPr id="128" name="步驟" descr="在右側資料內按一下某個儲存格，然後在 [插入] 功能表上按一下 [樞紐分析表]">
            <a:extLst>
              <a:ext uri="{FF2B5EF4-FFF2-40B4-BE49-F238E27FC236}">
                <a16:creationId xmlns:a16="http://schemas.microsoft.com/office/drawing/2014/main" id="{00000000-0008-0000-0A00-000080000000}"/>
              </a:ext>
            </a:extLst>
          </xdr:cNvPr>
          <xdr:cNvSpPr txBox="1"/>
        </xdr:nvSpPr>
        <xdr:spPr>
          <a:xfrm>
            <a:off x="1029308" y="7077512"/>
            <a:ext cx="4809516" cy="507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在右側資料內按一下某個儲存格，然後在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[插入]</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 功能表上按一下 </a:t>
            </a:r>
            <a:r>
              <a:rPr lang="zh-tw" sz="1100" b="1"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a:t>
            </a:r>
            <a:r>
              <a:rPr lang="zh-tw" sz="1100" spc="-3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29" name="橢圓​​ 128" descr="1">
            <a:extLst>
              <a:ext uri="{FF2B5EF4-FFF2-40B4-BE49-F238E27FC236}">
                <a16:creationId xmlns:a16="http://schemas.microsoft.com/office/drawing/2014/main" id="{00000000-0008-0000-0A00-000081000000}"/>
              </a:ext>
            </a:extLst>
          </xdr:cNvPr>
          <xdr:cNvSpPr/>
        </xdr:nvSpPr>
        <xdr:spPr>
          <a:xfrm>
            <a:off x="622274" y="703501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1</a:t>
            </a:r>
          </a:p>
        </xdr:txBody>
      </xdr:sp>
      <xdr:sp macro="" textlink="">
        <xdr:nvSpPr>
          <xdr:cNvPr id="130" name="步驟" descr="在隨即顯示的對話方塊中，按一下 [已經存在的工作表]，然後在 [位置] 方塊中輸入 C42。按一下 [確定]">
            <a:extLst>
              <a:ext uri="{FF2B5EF4-FFF2-40B4-BE49-F238E27FC236}">
                <a16:creationId xmlns:a16="http://schemas.microsoft.com/office/drawing/2014/main" id="{00000000-0008-0000-0A00-000082000000}"/>
              </a:ext>
            </a:extLst>
          </xdr:cNvPr>
          <xdr:cNvSpPr txBox="1"/>
        </xdr:nvSpPr>
        <xdr:spPr>
          <a:xfrm>
            <a:off x="1029308" y="7477005"/>
            <a:ext cx="4809516" cy="47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在顯示的對話方塊中，按一下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[已經存在的工作表]</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，然後</a:t>
            </a:r>
            <a:r>
              <a:rPr lang="zh-tw" sz="110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 </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[位置] </a:t>
            </a:r>
            <a:r>
              <a:rPr lang="zh-tw" sz="1100" b="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方塊中輸入 C42</a:t>
            </a:r>
            <a:r>
              <a:rPr lang="zh-tw" sz="1100" b="1"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按一下 </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[確定]</a:t>
            </a:r>
            <a:r>
              <a:rPr lang="zh-tw"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31" name="橢圓​​ 130" descr="2">
            <a:extLst>
              <a:ext uri="{FF2B5EF4-FFF2-40B4-BE49-F238E27FC236}">
                <a16:creationId xmlns:a16="http://schemas.microsoft.com/office/drawing/2014/main" id="{00000000-0008-0000-0A00-000083000000}"/>
              </a:ext>
            </a:extLst>
          </xdr:cNvPr>
          <xdr:cNvSpPr/>
        </xdr:nvSpPr>
        <xdr:spPr>
          <a:xfrm>
            <a:off x="622274" y="7547029"/>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2</a:t>
            </a:r>
          </a:p>
        </xdr:txBody>
      </xdr:sp>
      <xdr:sp macro="" textlink="">
        <xdr:nvSpPr>
          <xdr:cNvPr id="132" name="步驟" descr="[樞紐分析表欄位] 窗格會顯示在右側">
            <a:extLst>
              <a:ext uri="{FF2B5EF4-FFF2-40B4-BE49-F238E27FC236}">
                <a16:creationId xmlns:a16="http://schemas.microsoft.com/office/drawing/2014/main" id="{00000000-0008-0000-0A00-000084000000}"/>
              </a:ext>
            </a:extLst>
          </xdr:cNvPr>
          <xdr:cNvSpPr txBox="1"/>
        </xdr:nvSpPr>
        <xdr:spPr>
          <a:xfrm>
            <a:off x="1029308" y="8078975"/>
            <a:ext cx="4809516" cy="813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[樞紐分析表欄位] </a:t>
            </a:r>
            <a:r>
              <a:rPr lang="zh-tw" sz="11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窗格會顯示在右側</a:t>
            </a:r>
            <a:r>
              <a:rPr lang="zh-tw"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endParaRPr lang="en-US" sz="1100" b="1">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sp macro="" textlink="">
        <xdr:nvSpPr>
          <xdr:cNvPr id="133" name="橢圓​​ 132" descr="3">
            <a:extLst>
              <a:ext uri="{FF2B5EF4-FFF2-40B4-BE49-F238E27FC236}">
                <a16:creationId xmlns:a16="http://schemas.microsoft.com/office/drawing/2014/main" id="{00000000-0008-0000-0A00-000085000000}"/>
              </a:ext>
            </a:extLst>
          </xdr:cNvPr>
          <xdr:cNvSpPr/>
        </xdr:nvSpPr>
        <xdr:spPr>
          <a:xfrm>
            <a:off x="622274" y="803647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3</a:t>
            </a:r>
          </a:p>
        </xdr:txBody>
      </xdr:sp>
      <xdr:sp macro="" textlink="">
        <xdr:nvSpPr>
          <xdr:cNvPr id="116" name="步驟" descr="At the top of the pane, click the checkbox for Product. &#10;When you do that, the Product field gets added to the Rows area at the bottom of the pane. And, the product data appears as Row labels in the new PivotTable">
            <a:extLst>
              <a:ext uri="{FF2B5EF4-FFF2-40B4-BE49-F238E27FC236}">
                <a16:creationId xmlns:a16="http://schemas.microsoft.com/office/drawing/2014/main" id="{00000000-0008-0000-0A00-000074000000}"/>
              </a:ext>
            </a:extLst>
          </xdr:cNvPr>
          <xdr:cNvSpPr txBox="1"/>
        </xdr:nvSpPr>
        <xdr:spPr>
          <a:xfrm>
            <a:off x="1029308" y="8568781"/>
            <a:ext cx="4809516" cy="90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[產品]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br>
              <a:rPr lang="en-US"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當您執行此動作時，就會將 [產品] 欄位加入窗格底部的 [列] 區域。產品資料會在</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新的樞紐分析表</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中顯示為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[列標籤]</a:t>
            </a: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p>
        </xdr:txBody>
      </xdr:sp>
      <xdr:sp macro="" textlink="">
        <xdr:nvSpPr>
          <xdr:cNvPr id="117" name="橢圓​​ 116" descr="4">
            <a:extLst>
              <a:ext uri="{FF2B5EF4-FFF2-40B4-BE49-F238E27FC236}">
                <a16:creationId xmlns:a16="http://schemas.microsoft.com/office/drawing/2014/main" id="{00000000-0008-0000-0A00-000075000000}"/>
              </a:ext>
            </a:extLst>
          </xdr:cNvPr>
          <xdr:cNvSpPr/>
        </xdr:nvSpPr>
        <xdr:spPr>
          <a:xfrm>
            <a:off x="622274" y="8526284"/>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4</a:t>
            </a:r>
          </a:p>
        </xdr:txBody>
      </xdr:sp>
      <xdr:sp macro="" textlink="">
        <xdr:nvSpPr>
          <xdr:cNvPr id="118" name="步驟" descr="At the top of the pane, click the checkbox for Amount.&#10;When you do that, the Amount field will get added to the Values area at the bottom of the pane. And, at the same time the amounts are totaled for each product in the PivotTable">
            <a:extLst>
              <a:ext uri="{FF2B5EF4-FFF2-40B4-BE49-F238E27FC236}">
                <a16:creationId xmlns:a16="http://schemas.microsoft.com/office/drawing/2014/main" id="{00000000-0008-0000-0A00-000076000000}"/>
              </a:ext>
            </a:extLst>
          </xdr:cNvPr>
          <xdr:cNvSpPr txBox="1"/>
        </xdr:nvSpPr>
        <xdr:spPr>
          <a:xfrm>
            <a:off x="1029308" y="9572420"/>
            <a:ext cx="4809516" cy="9939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在窗格頂端，按一下 </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[金額] </a:t>
            </a:r>
            <a:r>
              <a:rPr lang="zh-tw" sz="1100" b="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的核取方塊</a:t>
            </a:r>
            <a:r>
              <a:rPr lang="zh-tw" sz="1100" b="1"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a:t>
            </a: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br>
              <a:rPr lang="en-US"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b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當您執行此動作時，就會將 [金額] 欄位加入窗格底部的 [值] 區域。同時，系統會加總樞紐分析表中的每項產品的金額。</a:t>
            </a:r>
          </a:p>
        </xdr:txBody>
      </xdr:sp>
      <xdr:sp macro="" textlink="">
        <xdr:nvSpPr>
          <xdr:cNvPr id="119" name="橢圓​​ 118" descr="5">
            <a:extLst>
              <a:ext uri="{FF2B5EF4-FFF2-40B4-BE49-F238E27FC236}">
                <a16:creationId xmlns:a16="http://schemas.microsoft.com/office/drawing/2014/main" id="{00000000-0008-0000-0A00-000077000000}"/>
              </a:ext>
            </a:extLst>
          </xdr:cNvPr>
          <xdr:cNvSpPr/>
        </xdr:nvSpPr>
        <xdr:spPr>
          <a:xfrm>
            <a:off x="622274" y="9529922"/>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5</a:t>
            </a:r>
          </a:p>
        </xdr:txBody>
      </xdr:sp>
      <xdr:sp macro="" textlink="">
        <xdr:nvSpPr>
          <xdr:cNvPr id="120" name="步驟" descr="恭喜您已建立樞紐分析表。但您還可以執行許多操作。若要深入了解，請按一下本工作表底部的連結">
            <a:extLst>
              <a:ext uri="{FF2B5EF4-FFF2-40B4-BE49-F238E27FC236}">
                <a16:creationId xmlns:a16="http://schemas.microsoft.com/office/drawing/2014/main" id="{00000000-0008-0000-0A00-000078000000}"/>
              </a:ext>
            </a:extLst>
          </xdr:cNvPr>
          <xdr:cNvSpPr txBox="1"/>
        </xdr:nvSpPr>
        <xdr:spPr>
          <a:xfrm>
            <a:off x="1029308" y="10577709"/>
            <a:ext cx="4809516" cy="4949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恭喜您已建立樞紐分析表。但您還可以執行許多操作。若</a:t>
            </a:r>
            <a:r>
              <a:rPr lang="zh-tw" sz="1100" kern="0" baseline="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要深入了解，請按一下本工作表底部的連結。</a:t>
            </a:r>
          </a:p>
        </xdr:txBody>
      </xdr:sp>
      <xdr:sp macro="" textlink="">
        <xdr:nvSpPr>
          <xdr:cNvPr id="121" name="橢圓​​ 120" descr="6">
            <a:extLst>
              <a:ext uri="{FF2B5EF4-FFF2-40B4-BE49-F238E27FC236}">
                <a16:creationId xmlns:a16="http://schemas.microsoft.com/office/drawing/2014/main" id="{00000000-0008-0000-0A00-000079000000}"/>
              </a:ext>
            </a:extLst>
          </xdr:cNvPr>
          <xdr:cNvSpPr/>
        </xdr:nvSpPr>
        <xdr:spPr>
          <a:xfrm>
            <a:off x="622274" y="10535211"/>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rtl="0"/>
            <a:r>
              <a:rPr lang="zh-tw" sz="1600">
                <a:latin typeface="Microsoft JhengHei UI" panose="020B0604030504040204" pitchFamily="34" charset="-120"/>
                <a:ea typeface="Microsoft JhengHei UI" panose="020B0604030504040204" pitchFamily="34" charset="-120"/>
                <a:cs typeface="Segoe UI Semibold" panose="020B0702040204020203" pitchFamily="34" charset="0"/>
              </a:rPr>
              <a:t>6</a:t>
            </a:r>
          </a:p>
        </xdr:txBody>
      </xdr:sp>
      <xdr:pic>
        <xdr:nvPicPr>
          <xdr:cNvPr id="122" name="圖片 121" descr="[產品] 核取方塊">
            <a:extLst>
              <a:ext uri="{FF2B5EF4-FFF2-40B4-BE49-F238E27FC236}">
                <a16:creationId xmlns:a16="http://schemas.microsoft.com/office/drawing/2014/main" id="{00000000-0008-0000-0A00-00007A000000}"/>
              </a:ext>
            </a:extLst>
          </xdr:cNvPr>
          <xdr:cNvPicPr>
            <a:picLocks noChangeAspect="1"/>
          </xdr:cNvPicPr>
        </xdr:nvPicPr>
        <xdr:blipFill rotWithShape="1">
          <a:blip xmlns:r="http://schemas.openxmlformats.org/officeDocument/2006/relationships" r:embed="rId3"/>
          <a:srcRect l="32214" t="41671" r="43084" b="36248"/>
          <a:stretch/>
        </xdr:blipFill>
        <xdr:spPr>
          <a:xfrm>
            <a:off x="3657872" y="8629285"/>
            <a:ext cx="544558" cy="202365"/>
          </a:xfrm>
          <a:prstGeom prst="rect">
            <a:avLst/>
          </a:prstGeom>
        </xdr:spPr>
      </xdr:pic>
      <xdr:pic>
        <xdr:nvPicPr>
          <xdr:cNvPr id="123" name="圖片 122" descr="[金額] 核取方塊">
            <a:extLst>
              <a:ext uri="{FF2B5EF4-FFF2-40B4-BE49-F238E27FC236}">
                <a16:creationId xmlns:a16="http://schemas.microsoft.com/office/drawing/2014/main" id="{00000000-0008-0000-0A00-00007B000000}"/>
              </a:ext>
            </a:extLst>
          </xdr:cNvPr>
          <xdr:cNvPicPr>
            <a:picLocks noChangeAspect="1"/>
          </xdr:cNvPicPr>
        </xdr:nvPicPr>
        <xdr:blipFill rotWithShape="1">
          <a:blip xmlns:r="http://schemas.openxmlformats.org/officeDocument/2006/relationships" r:embed="rId3"/>
          <a:srcRect l="31045" t="62985" r="44901" b="12617"/>
          <a:stretch/>
        </xdr:blipFill>
        <xdr:spPr>
          <a:xfrm>
            <a:off x="3620316" y="9613256"/>
            <a:ext cx="525780" cy="221708"/>
          </a:xfrm>
          <a:prstGeom prst="rect">
            <a:avLst/>
          </a:prstGeom>
        </xdr:spPr>
      </xdr:pic>
    </xdr:grpSp>
    <xdr:clientData/>
  </xdr:twoCellAnchor>
  <xdr:twoCellAnchor editAs="oneCell">
    <xdr:from>
      <xdr:col>0</xdr:col>
      <xdr:colOff>394516</xdr:colOff>
      <xdr:row>56</xdr:row>
      <xdr:rowOff>168728</xdr:rowOff>
    </xdr:from>
    <xdr:to>
      <xdr:col>1</xdr:col>
      <xdr:colOff>5077641</xdr:colOff>
      <xdr:row>72</xdr:row>
      <xdr:rowOff>92328</xdr:rowOff>
    </xdr:to>
    <xdr:grpSp>
      <xdr:nvGrpSpPr>
        <xdr:cNvPr id="135" name="網路上的更多資訊" descr="More information on the web, contains links to the web&#10;Back to top&#10;Next step">
          <a:extLst>
            <a:ext uri="{FF2B5EF4-FFF2-40B4-BE49-F238E27FC236}">
              <a16:creationId xmlns:a16="http://schemas.microsoft.com/office/drawing/2014/main" id="{00000000-0008-0000-0A00-000087000000}"/>
            </a:ext>
          </a:extLst>
        </xdr:cNvPr>
        <xdr:cNvGrpSpPr/>
      </xdr:nvGrpSpPr>
      <xdr:grpSpPr>
        <a:xfrm>
          <a:off x="394516" y="11408228"/>
          <a:ext cx="5778500" cy="2971600"/>
          <a:chOff x="0" y="1"/>
          <a:chExt cx="5695950" cy="3005750"/>
        </a:xfrm>
      </xdr:grpSpPr>
      <xdr:sp macro="" textlink="">
        <xdr:nvSpPr>
          <xdr:cNvPr id="136" name="矩形 135" descr="背景">
            <a:extLst>
              <a:ext uri="{FF2B5EF4-FFF2-40B4-BE49-F238E27FC236}">
                <a16:creationId xmlns:a16="http://schemas.microsoft.com/office/drawing/2014/main" id="{00000000-0008-0000-0A00-000088000000}"/>
              </a:ext>
            </a:extLst>
          </xdr:cNvPr>
          <xdr:cNvSpPr/>
        </xdr:nvSpPr>
        <xdr:spPr>
          <a:xfrm>
            <a:off x="0" y="1"/>
            <a:ext cx="5695950" cy="30057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137" name="步驟" descr="Web 上的更多資訊">
            <a:extLst>
              <a:ext uri="{FF2B5EF4-FFF2-40B4-BE49-F238E27FC236}">
                <a16:creationId xmlns:a16="http://schemas.microsoft.com/office/drawing/2014/main" id="{00000000-0008-0000-0A00-000089000000}"/>
              </a:ext>
            </a:extLst>
          </xdr:cNvPr>
          <xdr:cNvSpPr txBox="1"/>
        </xdr:nvSpPr>
        <xdr:spPr>
          <a:xfrm>
            <a:off x="231748"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rtl="0" eaLnBrk="1" fontAlgn="auto" latinLnBrk="0" hangingPunct="1">
              <a:lnSpc>
                <a:spcPct val="100000"/>
              </a:lnSpc>
              <a:spcBef>
                <a:spcPts val="0"/>
              </a:spcBef>
              <a:spcAft>
                <a:spcPts val="0"/>
              </a:spcAft>
              <a:buClrTx/>
              <a:buSzTx/>
              <a:buFontTx/>
              <a:buNone/>
              <a:tabLst/>
              <a:defRPr/>
            </a:pPr>
            <a:r>
              <a:rPr lang="zh-tw" sz="2200" b="0" i="0" u="none" strike="noStrike" kern="0" cap="none" spc="0" normalizeH="0" baseline="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網頁上的更多資訊</a:t>
            </a:r>
            <a:endParaRPr lang="en-US" sz="2200" b="0">
              <a:solidFill>
                <a:schemeClr val="bg2">
                  <a:lumMod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cxnSp macro="">
        <xdr:nvCxnSpPr>
          <xdr:cNvPr id="138" name="直線接點 137" descr="裝飾線條">
            <a:extLst>
              <a:ext uri="{FF2B5EF4-FFF2-40B4-BE49-F238E27FC236}">
                <a16:creationId xmlns:a16="http://schemas.microsoft.com/office/drawing/2014/main" id="{00000000-0008-0000-0A00-00008A000000}"/>
              </a:ext>
            </a:extLst>
          </xdr:cNvPr>
          <xdr:cNvCxnSpPr>
            <a:cxnSpLocks/>
          </xdr:cNvCxnSpPr>
        </xdr:nvCxnSpPr>
        <xdr:spPr>
          <a:xfrm>
            <a:off x="234924"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39" name="[下一步] 按鈕" descr="回到頁首，附有移至儲存格 A1 的超連結">
            <a:hlinkClick xmlns:r="http://schemas.openxmlformats.org/officeDocument/2006/relationships" r:id="rId4" tooltip="選取以回到此工作表中的儲存格 A1"/>
            <a:extLst>
              <a:ext uri="{FF2B5EF4-FFF2-40B4-BE49-F238E27FC236}">
                <a16:creationId xmlns:a16="http://schemas.microsoft.com/office/drawing/2014/main" id="{00000000-0008-0000-0A00-00008B000000}"/>
              </a:ext>
            </a:extLst>
          </xdr:cNvPr>
          <xdr:cNvSpPr/>
        </xdr:nvSpPr>
        <xdr:spPr>
          <a:xfrm>
            <a:off x="234924" y="2170102"/>
            <a:ext cx="2723067" cy="536454"/>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回到頁首</a:t>
            </a:r>
          </a:p>
        </xdr:txBody>
      </xdr:sp>
      <xdr:cxnSp macro="">
        <xdr:nvCxnSpPr>
          <xdr:cNvPr id="140" name="直線接點 139" descr="裝飾線條">
            <a:extLst>
              <a:ext uri="{FF2B5EF4-FFF2-40B4-BE49-F238E27FC236}">
                <a16:creationId xmlns:a16="http://schemas.microsoft.com/office/drawing/2014/main" id="{00000000-0008-0000-0A00-00008C000000}"/>
              </a:ext>
            </a:extLst>
          </xdr:cNvPr>
          <xdr:cNvCxnSpPr>
            <a:cxnSpLocks/>
          </xdr:cNvCxnSpPr>
        </xdr:nvCxnSpPr>
        <xdr:spPr>
          <a:xfrm>
            <a:off x="234924" y="1924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41" name="[下一步] 按鈕" descr="[下一步] 按鈕，附有移至下一個工作表的超連結">
            <a:hlinkClick xmlns:r="http://schemas.openxmlformats.org/officeDocument/2006/relationships" r:id="rId2" tooltip="選取以移至下一步"/>
            <a:extLst>
              <a:ext uri="{FF2B5EF4-FFF2-40B4-BE49-F238E27FC236}">
                <a16:creationId xmlns:a16="http://schemas.microsoft.com/office/drawing/2014/main" id="{00000000-0008-0000-0A00-00008D000000}"/>
              </a:ext>
            </a:extLst>
          </xdr:cNvPr>
          <xdr:cNvSpPr/>
        </xdr:nvSpPr>
        <xdr:spPr>
          <a:xfrm>
            <a:off x="4293870" y="2360603"/>
            <a:ext cx="1154430"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rtl="0"/>
            <a:r>
              <a:rPr lang="zh-tw" sz="1200">
                <a:solidFill>
                  <a:srgbClr val="0B744D"/>
                </a:solidFill>
                <a:latin typeface="Microsoft JhengHei UI" panose="020B0604030504040204" pitchFamily="34" charset="-120"/>
                <a:ea typeface="Microsoft JhengHei UI" panose="020B0604030504040204" pitchFamily="34" charset="-120"/>
                <a:cs typeface="Segoe UI" pitchFamily="34" charset="0"/>
              </a:rPr>
              <a:t>下一個步驟</a:t>
            </a:r>
          </a:p>
        </xdr:txBody>
      </xdr:sp>
      <xdr:sp macro="" textlink="">
        <xdr:nvSpPr>
          <xdr:cNvPr id="142" name="步驟" descr="建立樞紐分析表來分析工作表的資料，附有移至 Web 的超連結">
            <a:hlinkClick xmlns:r="http://schemas.openxmlformats.org/officeDocument/2006/relationships" r:id="rId5" tooltip="選取以從 Web 了解如何建立樞紐分析表來分析工作表的資料"/>
            <a:extLst>
              <a:ext uri="{FF2B5EF4-FFF2-40B4-BE49-F238E27FC236}">
                <a16:creationId xmlns:a16="http://schemas.microsoft.com/office/drawing/2014/main" id="{00000000-0008-0000-0A00-00008E000000}"/>
              </a:ext>
            </a:extLst>
          </xdr:cNvPr>
          <xdr:cNvSpPr txBox="1"/>
        </xdr:nvSpPr>
        <xdr:spPr>
          <a:xfrm>
            <a:off x="638783" y="794849"/>
            <a:ext cx="3024351" cy="3100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建立樞紐分析表來分析工作表的資料</a:t>
            </a:r>
          </a:p>
        </xdr:txBody>
      </xdr:sp>
      <xdr:pic>
        <xdr:nvPicPr>
          <xdr:cNvPr id="143" name="圖形 22" descr="箭號">
            <a:hlinkClick xmlns:r="http://schemas.openxmlformats.org/officeDocument/2006/relationships" r:id="rId5" tooltip="選取以從網路深入了解"/>
            <a:extLst>
              <a:ext uri="{FF2B5EF4-FFF2-40B4-BE49-F238E27FC236}">
                <a16:creationId xmlns:a16="http://schemas.microsoft.com/office/drawing/2014/main" id="{00000000-0008-0000-0A00-00008F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699572"/>
            <a:ext cx="454554" cy="448472"/>
          </a:xfrm>
          <a:prstGeom prst="rect">
            <a:avLst/>
          </a:prstGeom>
        </xdr:spPr>
      </xdr:pic>
      <xdr:sp macro="" textlink="">
        <xdr:nvSpPr>
          <xdr:cNvPr id="144" name="步驟" descr="使用 [欄位清單] 來排列樞紐分析表中的欄位，附有移至 Web 的超連結">
            <a:hlinkClick xmlns:r="http://schemas.openxmlformats.org/officeDocument/2006/relationships" r:id="rId8" tooltip="選取以從 Web 了解如何使用 [欄位清單] 來排列樞紐分析表中的欄位"/>
            <a:extLst>
              <a:ext uri="{FF2B5EF4-FFF2-40B4-BE49-F238E27FC236}">
                <a16:creationId xmlns:a16="http://schemas.microsoft.com/office/drawing/2014/main" id="{00000000-0008-0000-0A00-000090000000}"/>
              </a:ext>
            </a:extLst>
          </xdr:cNvPr>
          <xdr:cNvSpPr txBox="1"/>
        </xdr:nvSpPr>
        <xdr:spPr>
          <a:xfrm>
            <a:off x="638783" y="1259456"/>
            <a:ext cx="3224376" cy="2904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rtl="0">
              <a:defRPr/>
            </a:pPr>
            <a:r>
              <a:rPr lang="zh-tw" sz="1100" u="sng" kern="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rPr>
              <a:t>使用 [欄位清單] 來排列樞紐分析表中的欄位</a:t>
            </a:r>
          </a:p>
        </xdr:txBody>
      </xdr:sp>
      <xdr:pic>
        <xdr:nvPicPr>
          <xdr:cNvPr id="145" name="圖形 22" descr="箭號">
            <a:hlinkClick xmlns:r="http://schemas.openxmlformats.org/officeDocument/2006/relationships" r:id="rId8" tooltip="選取以從網路深入了解"/>
            <a:extLst>
              <a:ext uri="{FF2B5EF4-FFF2-40B4-BE49-F238E27FC236}">
                <a16:creationId xmlns:a16="http://schemas.microsoft.com/office/drawing/2014/main" id="{00000000-0008-0000-0A00-00009100000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1503" y="1157426"/>
            <a:ext cx="454554" cy="448472"/>
          </a:xfrm>
          <a:prstGeom prst="rect">
            <a:avLst/>
          </a:prstGeom>
        </xdr:spPr>
      </xdr:pic>
    </xdr:grpSp>
    <xdr:clientData/>
  </xdr:twoCellAnchor>
  <xdr:twoCellAnchor editAs="oneCell">
    <xdr:from>
      <xdr:col>2</xdr:col>
      <xdr:colOff>95251</xdr:colOff>
      <xdr:row>9</xdr:row>
      <xdr:rowOff>165566</xdr:rowOff>
    </xdr:from>
    <xdr:to>
      <xdr:col>3</xdr:col>
      <xdr:colOff>735063</xdr:colOff>
      <xdr:row>13</xdr:row>
      <xdr:rowOff>72761</xdr:rowOff>
    </xdr:to>
    <xdr:grpSp>
      <xdr:nvGrpSpPr>
        <xdr:cNvPr id="2" name="樞紐分析表箭號" descr="指向樞紐分析表的箭號">
          <a:extLst>
            <a:ext uri="{FF2B5EF4-FFF2-40B4-BE49-F238E27FC236}">
              <a16:creationId xmlns:a16="http://schemas.microsoft.com/office/drawing/2014/main" id="{00000000-0008-0000-0A00-000002000000}"/>
            </a:ext>
          </a:extLst>
        </xdr:cNvPr>
        <xdr:cNvGrpSpPr/>
      </xdr:nvGrpSpPr>
      <xdr:grpSpPr>
        <a:xfrm>
          <a:off x="6638926" y="2451566"/>
          <a:ext cx="1487537" cy="669195"/>
          <a:chOff x="7179229" y="2584916"/>
          <a:chExt cx="1404987" cy="669195"/>
        </a:xfrm>
      </xdr:grpSpPr>
      <xdr:sp macro="" textlink="">
        <xdr:nvSpPr>
          <xdr:cNvPr id="69" name="弧線 68" descr="箭號">
            <a:extLst>
              <a:ext uri="{FF2B5EF4-FFF2-40B4-BE49-F238E27FC236}">
                <a16:creationId xmlns:a16="http://schemas.microsoft.com/office/drawing/2014/main" id="{00000000-0008-0000-0A00-000045000000}"/>
              </a:ext>
            </a:extLst>
          </xdr:cNvPr>
          <xdr:cNvSpPr/>
        </xdr:nvSpPr>
        <xdr:spPr>
          <a:xfrm rot="9903799">
            <a:off x="7913369" y="2584916"/>
            <a:ext cx="640711" cy="669195"/>
          </a:xfrm>
          <a:prstGeom prst="arc">
            <a:avLst>
              <a:gd name="adj1" fmla="val 15011426"/>
              <a:gd name="adj2" fmla="val 20877560"/>
            </a:avLst>
          </a:prstGeom>
          <a:ln w="19050">
            <a:solidFill>
              <a:srgbClr val="217346"/>
            </a:solidFill>
            <a:prstDash val="sysDot"/>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70" name="步驟" descr="樞紐分析表">
            <a:extLst>
              <a:ext uri="{FF2B5EF4-FFF2-40B4-BE49-F238E27FC236}">
                <a16:creationId xmlns:a16="http://schemas.microsoft.com/office/drawing/2014/main" id="{00000000-0008-0000-0A00-000046000000}"/>
              </a:ext>
            </a:extLst>
          </xdr:cNvPr>
          <xdr:cNvSpPr txBox="1"/>
        </xdr:nvSpPr>
        <xdr:spPr>
          <a:xfrm>
            <a:off x="7179229" y="2794000"/>
            <a:ext cx="1404987" cy="321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tw" sz="1100" b="0" i="0" u="none" strike="noStrike" kern="0" cap="none" spc="0" normalizeH="0" baseline="0" noProof="0">
                <a:ln>
                  <a:noFill/>
                </a:ln>
                <a:solidFill>
                  <a:schemeClr val="bg2">
                    <a:lumMod val="25000"/>
                  </a:schemeClr>
                </a:solidFill>
                <a:effectLst/>
                <a:uLnTx/>
                <a:uFillTx/>
                <a:latin typeface="Microsoft JhengHei UI" panose="020B0604030504040204" pitchFamily="34" charset="-120"/>
                <a:ea typeface="Microsoft JhengHei UI" panose="020B0604030504040204" pitchFamily="34" charset="-120"/>
                <a:cs typeface="Segoe UI Light" panose="020B0502040204020203" pitchFamily="34" charset="0"/>
              </a:rPr>
              <a:t>樞紐分析表</a:t>
            </a:r>
          </a:p>
        </xdr:txBody>
      </xdr:sp>
    </xdr:grpSp>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202165</xdr:colOff>
      <xdr:row>14</xdr:row>
      <xdr:rowOff>83872</xdr:rowOff>
    </xdr:from>
    <xdr:to>
      <xdr:col>4</xdr:col>
      <xdr:colOff>714226</xdr:colOff>
      <xdr:row>14</xdr:row>
      <xdr:rowOff>83872</xdr:rowOff>
    </xdr:to>
    <xdr:cxnSp macro="">
      <xdr:nvCxnSpPr>
        <xdr:cNvPr id="44" name="直線接點 43" descr="裝飾線條" hidden="1">
          <a:extLst>
            <a:ext uri="{FF2B5EF4-FFF2-40B4-BE49-F238E27FC236}">
              <a16:creationId xmlns:a16="http://schemas.microsoft.com/office/drawing/2014/main" id="{46E2CC7A-F46E-41A2-94F0-D4DF90308025}"/>
            </a:ext>
          </a:extLst>
        </xdr:cNvPr>
        <xdr:cNvCxnSpPr/>
      </xdr:nvCxnSpPr>
      <xdr:spPr>
        <a:xfrm>
          <a:off x="792715" y="3322372"/>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171451</xdr:colOff>
      <xdr:row>0</xdr:row>
      <xdr:rowOff>285750</xdr:rowOff>
    </xdr:from>
    <xdr:to>
      <xdr:col>3</xdr:col>
      <xdr:colOff>485775</xdr:colOff>
      <xdr:row>26</xdr:row>
      <xdr:rowOff>152141</xdr:rowOff>
    </xdr:to>
    <xdr:grpSp>
      <xdr:nvGrpSpPr>
        <xdr:cNvPr id="8" name="群組 7"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0B5BCAF4-F100-4FAC-ABBE-24D74C2FDEF9}"/>
            </a:ext>
          </a:extLst>
        </xdr:cNvPr>
        <xdr:cNvGrpSpPr/>
      </xdr:nvGrpSpPr>
      <xdr:grpSpPr>
        <a:xfrm>
          <a:off x="171451" y="285750"/>
          <a:ext cx="9096374" cy="5390891"/>
          <a:chOff x="171451" y="285750"/>
          <a:chExt cx="9309411" cy="5390891"/>
        </a:xfrm>
      </xdr:grpSpPr>
      <xdr:grpSp>
        <xdr:nvGrpSpPr>
          <xdr:cNvPr id="7" name="群組 6" descr="More questions about Excel?&#10;Click the Tell Me button and type what you want to know&#10;Keep going. There are lots more ways to simplify your work:&#10;LinkedIn Learning&#10;Video courses for all levels—from beginner to advanced. Take at your own pace.&#10;Community&#10;Ask questions and connect with other Excel fans.&#10;What else is new?&#10;We continue to add new features as part of your subscription.&#10;Give us feedback on this tour">
            <a:extLst>
              <a:ext uri="{FF2B5EF4-FFF2-40B4-BE49-F238E27FC236}">
                <a16:creationId xmlns:a16="http://schemas.microsoft.com/office/drawing/2014/main" id="{3E016D0F-C88B-41CC-B64A-6954CF5DA52A}"/>
              </a:ext>
            </a:extLst>
          </xdr:cNvPr>
          <xdr:cNvGrpSpPr/>
        </xdr:nvGrpSpPr>
        <xdr:grpSpPr>
          <a:xfrm>
            <a:off x="171451" y="285750"/>
            <a:ext cx="9309411" cy="5390891"/>
            <a:chOff x="171451" y="285750"/>
            <a:chExt cx="9309411" cy="5390891"/>
          </a:xfrm>
        </xdr:grpSpPr>
        <xdr:grpSp>
          <xdr:nvGrpSpPr>
            <xdr:cNvPr id="3" name="群組 2">
              <a:extLst>
                <a:ext uri="{FF2B5EF4-FFF2-40B4-BE49-F238E27FC236}">
                  <a16:creationId xmlns:a16="http://schemas.microsoft.com/office/drawing/2014/main" id="{2D3AF418-A094-466E-AB09-35BE09D72168}"/>
                </a:ext>
              </a:extLst>
            </xdr:cNvPr>
            <xdr:cNvGrpSpPr/>
          </xdr:nvGrpSpPr>
          <xdr:grpSpPr>
            <a:xfrm>
              <a:off x="171451" y="285750"/>
              <a:ext cx="9309411" cy="5390891"/>
              <a:chOff x="171451" y="285750"/>
              <a:chExt cx="9309411" cy="5390891"/>
            </a:xfrm>
          </xdr:grpSpPr>
          <xdr:sp macro="" textlink="">
            <xdr:nvSpPr>
              <xdr:cNvPr id="27" name="矩形 26" descr="背景">
                <a:extLst>
                  <a:ext uri="{FF2B5EF4-FFF2-40B4-BE49-F238E27FC236}">
                    <a16:creationId xmlns:a16="http://schemas.microsoft.com/office/drawing/2014/main" id="{8856A1CF-C007-4B5A-86B7-F041D589198F}"/>
                  </a:ext>
                </a:extLst>
              </xdr:cNvPr>
              <xdr:cNvSpPr/>
            </xdr:nvSpPr>
            <xdr:spPr>
              <a:xfrm>
                <a:off x="171451" y="285750"/>
                <a:ext cx="9299853" cy="5314950"/>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sp macro="" textlink="">
            <xdr:nvSpPr>
              <xdr:cNvPr id="28" name="矩形 27" descr="背景">
                <a:extLst>
                  <a:ext uri="{FF2B5EF4-FFF2-40B4-BE49-F238E27FC236}">
                    <a16:creationId xmlns:a16="http://schemas.microsoft.com/office/drawing/2014/main" id="{B10C30BB-E92E-46F6-BF4F-711FFD237B75}"/>
                  </a:ext>
                </a:extLst>
              </xdr:cNvPr>
              <xdr:cNvSpPr/>
            </xdr:nvSpPr>
            <xdr:spPr>
              <a:xfrm>
                <a:off x="171451" y="1332861"/>
                <a:ext cx="9309411" cy="434378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rtl="0"/>
                <a:endParaRPr lang="en-US" sz="1100">
                  <a:latin typeface="Microsoft JhengHei UI" panose="020B0604030504040204" pitchFamily="34" charset="-120"/>
                  <a:ea typeface="Microsoft JhengHei UI" panose="020B0604030504040204" pitchFamily="34" charset="-120"/>
                </a:endParaRPr>
              </a:p>
            </xdr:txBody>
          </xdr:sp>
        </xdr:grpSp>
        <xdr:sp macro="" textlink="">
          <xdr:nvSpPr>
            <xdr:cNvPr id="31" name="歡迎使用訊息" descr="請繼續進行。還有許多種簡化工作的方法：">
              <a:extLst>
                <a:ext uri="{FF2B5EF4-FFF2-40B4-BE49-F238E27FC236}">
                  <a16:creationId xmlns:a16="http://schemas.microsoft.com/office/drawing/2014/main" id="{B24D23C5-673E-45F6-8D1F-CF3CECAADEFD}"/>
                </a:ext>
              </a:extLst>
            </xdr:cNvPr>
            <xdr:cNvSpPr txBox="1"/>
          </xdr:nvSpPr>
          <xdr:spPr>
            <a:xfrm>
              <a:off x="780726" y="28749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請繼續進行。還有更多 Excel 的相關知識：</a:t>
              </a:r>
              <a:endParaRPr lang="en-US" sz="1600" b="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Light" panose="020B0502040204020203" pitchFamily="34" charset="0"/>
              </a:endParaRPr>
            </a:p>
          </xdr:txBody>
        </xdr:sp>
        <xdr:sp macro="" textlink="">
          <xdr:nvSpPr>
            <xdr:cNvPr id="32" name="歡迎使用訊息" descr="對 Excel 有其他問題嗎？">
              <a:extLst>
                <a:ext uri="{FF2B5EF4-FFF2-40B4-BE49-F238E27FC236}">
                  <a16:creationId xmlns:a16="http://schemas.microsoft.com/office/drawing/2014/main" id="{BB737325-A84F-45AD-AC4D-0C9616D3EA37}"/>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2600" b="0" i="0" baseline="0">
                  <a:solidFill>
                    <a:schemeClr val="bg1"/>
                  </a:solidFill>
                  <a:effectLst/>
                  <a:latin typeface="Microsoft JhengHei UI" panose="020B0604030504040204" pitchFamily="34" charset="-120"/>
                  <a:ea typeface="Microsoft JhengHei UI" panose="020B0604030504040204" pitchFamily="34" charset="-120"/>
                  <a:cs typeface="Segoe UI" pitchFamily="34" charset="0"/>
                </a:rPr>
                <a:t>對 Excel 有其他問題嗎？</a:t>
              </a:r>
              <a:endParaRPr lang="en-US" sz="2600" b="0">
                <a:latin typeface="Microsoft JhengHei UI" panose="020B0604030504040204" pitchFamily="34" charset="-120"/>
                <a:ea typeface="Microsoft JhengHei UI" panose="020B0604030504040204" pitchFamily="34" charset="-120"/>
                <a:cs typeface="Segoe UI" pitchFamily="34" charset="0"/>
              </a:endParaRPr>
            </a:p>
          </xdr:txBody>
        </xdr:sp>
        <xdr:pic>
          <xdr:nvPicPr>
            <xdr:cNvPr id="41" name="圖片 40">
              <a:extLst>
                <a:ext uri="{FF2B5EF4-FFF2-40B4-BE49-F238E27FC236}">
                  <a16:creationId xmlns:a16="http://schemas.microsoft.com/office/drawing/2014/main" id="{FC311F96-C77D-47AE-AE62-D0A3DDA0F00B}"/>
                </a:ext>
              </a:extLst>
            </xdr:cNvPr>
            <xdr:cNvPicPr>
              <a:picLocks noChangeAspect="1"/>
            </xdr:cNvPicPr>
          </xdr:nvPicPr>
          <xdr:blipFill>
            <a:blip xmlns:r="http://schemas.openxmlformats.org/officeDocument/2006/relationships" r:embed="rId1"/>
            <a:srcRect/>
            <a:stretch/>
          </xdr:blipFill>
          <xdr:spPr>
            <a:xfrm>
              <a:off x="2306573" y="1573643"/>
              <a:ext cx="546614" cy="789547"/>
            </a:xfrm>
            <a:prstGeom prst="rect">
              <a:avLst/>
            </a:prstGeom>
          </xdr:spPr>
        </xdr:pic>
        <xdr:sp macro="" textlink="">
          <xdr:nvSpPr>
            <xdr:cNvPr id="42" name="歡迎使用訊息" descr="按一下 [操作說明搜尋] 按鈕，然後輸入您想了解的內容">
              <a:extLst>
                <a:ext uri="{FF2B5EF4-FFF2-40B4-BE49-F238E27FC236}">
                  <a16:creationId xmlns:a16="http://schemas.microsoft.com/office/drawing/2014/main" id="{6BA48AEB-67F6-45A7-BE08-E3BD0264BF49}"/>
                </a:ext>
              </a:extLst>
            </xdr:cNvPr>
            <xdr:cNvSpPr txBox="1"/>
          </xdr:nvSpPr>
          <xdr:spPr>
            <a:xfrm>
              <a:off x="762520" y="1762816"/>
              <a:ext cx="6653832" cy="731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fontAlgn="auto" latinLnBrk="0" hangingPunct="1"/>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按一下 [說明]</a:t>
              </a:r>
              <a:r>
                <a:rPr lang="zh-tw" sz="1600" b="0" i="0"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                  </a:t>
              </a:r>
              <a:r>
                <a:rPr lang="zh-tw" sz="1600" b="0" i="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 按鈕以進一步了解 Excel。</a:t>
              </a:r>
            </a:p>
          </xdr:txBody>
        </xdr:sp>
        <xdr:cxnSp macro="">
          <xdr:nvCxnSpPr>
            <xdr:cNvPr id="45" name="直線接點 44" descr="裝飾線條" hidden="1">
              <a:extLst>
                <a:ext uri="{FF2B5EF4-FFF2-40B4-BE49-F238E27FC236}">
                  <a16:creationId xmlns:a16="http://schemas.microsoft.com/office/drawing/2014/main" id="{786E0672-FFB1-4FFF-9F0B-81AC8D00972E}"/>
                </a:ext>
              </a:extLst>
            </xdr:cNvPr>
            <xdr:cNvCxnSpPr/>
          </xdr:nvCxnSpPr>
          <xdr:spPr>
            <a:xfrm>
              <a:off x="792715" y="4769289"/>
              <a:ext cx="8554336" cy="0"/>
            </a:xfrm>
            <a:prstGeom prst="line">
              <a:avLst/>
            </a:prstGeom>
            <a:ln w="12700">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39" name="文字方塊 38" descr="深入了解">
              <a:hlinkClick xmlns:r="http://schemas.openxmlformats.org/officeDocument/2006/relationships" r:id="rId2" tooltip="選取以深入了解"/>
              <a:extLst>
                <a:ext uri="{FF2B5EF4-FFF2-40B4-BE49-F238E27FC236}">
                  <a16:creationId xmlns:a16="http://schemas.microsoft.com/office/drawing/2014/main" id="{F204882E-8102-4F0D-94C6-6A7BA4A9910A}"/>
                </a:ext>
              </a:extLst>
            </xdr:cNvPr>
            <xdr:cNvSpPr txBox="1"/>
          </xdr:nvSpPr>
          <xdr:spPr>
            <a:xfrm>
              <a:off x="1824497" y="4330350"/>
              <a:ext cx="1995027"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深入了解（僅提供英文版）</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40" name="文字方塊 39" descr="深入了解">
              <a:hlinkClick xmlns:r="http://schemas.openxmlformats.org/officeDocument/2006/relationships" r:id="rId3" tooltip="選取以深入了解"/>
              <a:extLst>
                <a:ext uri="{FF2B5EF4-FFF2-40B4-BE49-F238E27FC236}">
                  <a16:creationId xmlns:a16="http://schemas.microsoft.com/office/drawing/2014/main" id="{2E432F11-D4FE-4736-8D68-2D1E8279A7EF}"/>
                </a:ext>
              </a:extLst>
            </xdr:cNvPr>
            <xdr:cNvSpPr txBox="1"/>
          </xdr:nvSpPr>
          <xdr:spPr>
            <a:xfrm>
              <a:off x="5547397" y="43303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200" b="1" u="sng" baseline="0">
                  <a:solidFill>
                    <a:srgbClr val="217346"/>
                  </a:solidFill>
                  <a:effectLst/>
                  <a:latin typeface="Microsoft JhengHei UI" panose="020B0604030504040204" pitchFamily="34" charset="-120"/>
                  <a:ea typeface="Microsoft JhengHei UI" panose="020B0604030504040204" pitchFamily="34" charset="-120"/>
                  <a:cs typeface="Segoe UI Semibold" panose="020B0702040204020203" pitchFamily="34" charset="0"/>
                </a:rPr>
                <a:t>深入了解</a:t>
              </a:r>
              <a:endParaRPr lang="en-US" sz="1200" b="1" u="sng">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Semibold" panose="020B0702040204020203" pitchFamily="34" charset="0"/>
              </a:endParaRPr>
            </a:p>
          </xdr:txBody>
        </xdr:sp>
        <xdr:sp macro="" textlink="">
          <xdr:nvSpPr>
            <xdr:cNvPr id="48" name="文字方塊 47" descr="Community&#10;Ask questions and connect with other Excel fans">
              <a:extLst>
                <a:ext uri="{FF2B5EF4-FFF2-40B4-BE49-F238E27FC236}">
                  <a16:creationId xmlns:a16="http://schemas.microsoft.com/office/drawing/2014/main" id="{CB2EAF03-2AD6-47A0-93E3-4C195F05C4AD}"/>
                </a:ext>
              </a:extLst>
            </xdr:cNvPr>
            <xdr:cNvSpPr txBox="1"/>
          </xdr:nvSpPr>
          <xdr:spPr>
            <a:xfrm>
              <a:off x="1834023" y="3324224"/>
              <a:ext cx="1846734"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社群</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提出問題並與其他 Excel 粉絲交流互動。</a:t>
              </a:r>
            </a:p>
          </xdr:txBody>
        </xdr:sp>
        <xdr:sp macro="" textlink="">
          <xdr:nvSpPr>
            <xdr:cNvPr id="35" name="文字方塊 34" descr="What else is new?&#10;Office 365 subscribers get continual updates and new features">
              <a:extLst>
                <a:ext uri="{FF2B5EF4-FFF2-40B4-BE49-F238E27FC236}">
                  <a16:creationId xmlns:a16="http://schemas.microsoft.com/office/drawing/2014/main" id="{E889AC39-8ADA-44F5-A290-80685AEAE68C}"/>
                </a:ext>
              </a:extLst>
            </xdr:cNvPr>
            <xdr:cNvSpPr txBox="1"/>
          </xdr:nvSpPr>
          <xdr:spPr>
            <a:xfrm>
              <a:off x="5524501" y="33242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a:r>
                <a:rPr lang="zh-tw" sz="1400" baseline="0">
                  <a:solidFill>
                    <a:srgbClr val="217346"/>
                  </a:solidFill>
                  <a:effectLst/>
                  <a:latin typeface="Microsoft JhengHei UI" panose="020B0604030504040204" pitchFamily="34" charset="-120"/>
                  <a:ea typeface="Microsoft JhengHei UI" panose="020B0604030504040204" pitchFamily="34" charset="-120"/>
                  <a:cs typeface="Segoe UI Light" panose="020B0502040204020203" pitchFamily="34" charset="0"/>
                </a:rPr>
                <a:t>還有什麼新功能？</a:t>
              </a:r>
            </a:p>
            <a:p>
              <a:pPr algn="l" rtl="0"/>
              <a:r>
                <a:rPr lang="zh-tw" sz="1100" baseline="0">
                  <a:solidFill>
                    <a:schemeClr val="tx1">
                      <a:lumMod val="75000"/>
                      <a:lumOff val="25000"/>
                    </a:schemeClr>
                  </a:solidFill>
                  <a:effectLst/>
                  <a:latin typeface="Microsoft JhengHei UI" panose="020B0604030504040204" pitchFamily="34" charset="-120"/>
                  <a:ea typeface="Microsoft JhengHei UI" panose="020B0604030504040204" pitchFamily="34" charset="-120"/>
                  <a:cs typeface="Segoe UI" panose="020B0502040204020203" pitchFamily="34" charset="0"/>
                </a:rPr>
                <a:t>Office 365 訂閱者會持續取得更新和新功能。</a:t>
              </a:r>
              <a:endParaRPr lang="en-US" sz="1100">
                <a:solidFill>
                  <a:schemeClr val="tx1">
                    <a:lumMod val="75000"/>
                    <a:lumOff val="25000"/>
                  </a:schemeClr>
                </a:solidFill>
                <a:latin typeface="Microsoft JhengHei UI" panose="020B0604030504040204" pitchFamily="34" charset="-120"/>
                <a:ea typeface="Microsoft JhengHei UI" panose="020B0604030504040204" pitchFamily="34" charset="-120"/>
                <a:cs typeface="Segoe UI" panose="020B0502040204020203" pitchFamily="34" charset="0"/>
              </a:endParaRPr>
            </a:p>
          </xdr:txBody>
        </xdr:sp>
        <xdr:pic>
          <xdr:nvPicPr>
            <xdr:cNvPr id="6" name="圖片 5" descr="社群">
              <a:extLst>
                <a:ext uri="{FF2B5EF4-FFF2-40B4-BE49-F238E27FC236}">
                  <a16:creationId xmlns:a16="http://schemas.microsoft.com/office/drawing/2014/main" id="{FD5737FE-5B8D-4CD4-A4F5-51A1D7DEAECC}"/>
                </a:ext>
              </a:extLst>
            </xdr:cNvPr>
            <xdr:cNvPicPr>
              <a:picLocks noChangeAspect="1"/>
            </xdr:cNvPicPr>
          </xdr:nvPicPr>
          <xdr:blipFill>
            <a:blip xmlns:r="http://schemas.openxmlformats.org/officeDocument/2006/relationships" r:embed="rId4"/>
            <a:stretch>
              <a:fillRect/>
            </a:stretch>
          </xdr:blipFill>
          <xdr:spPr>
            <a:xfrm>
              <a:off x="895350" y="3467216"/>
              <a:ext cx="926984" cy="774603"/>
            </a:xfrm>
            <a:prstGeom prst="rect">
              <a:avLst/>
            </a:prstGeom>
          </xdr:spPr>
        </xdr:pic>
      </xdr:grpSp>
      <xdr:grpSp>
        <xdr:nvGrpSpPr>
          <xdr:cNvPr id="57" name="群組 56" descr="還有什麼新功能？">
            <a:extLst>
              <a:ext uri="{FF2B5EF4-FFF2-40B4-BE49-F238E27FC236}">
                <a16:creationId xmlns:a16="http://schemas.microsoft.com/office/drawing/2014/main" id="{35226574-39A3-4CB2-966D-E8376FD2852E}"/>
              </a:ext>
            </a:extLst>
          </xdr:cNvPr>
          <xdr:cNvGrpSpPr/>
        </xdr:nvGrpSpPr>
        <xdr:grpSpPr>
          <a:xfrm>
            <a:off x="4488738" y="3461037"/>
            <a:ext cx="974505" cy="786961"/>
            <a:chOff x="4488738" y="3592566"/>
            <a:chExt cx="974505" cy="786961"/>
          </a:xfrm>
        </xdr:grpSpPr>
        <xdr:pic>
          <xdr:nvPicPr>
            <xdr:cNvPr id="49" name="圖形 48" descr="報紙">
              <a:extLst>
                <a:ext uri="{FF2B5EF4-FFF2-40B4-BE49-F238E27FC236}">
                  <a16:creationId xmlns:a16="http://schemas.microsoft.com/office/drawing/2014/main" id="{14EC6A47-EF33-4E75-9BA6-2EE06DBFFC3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4644351" y="3769928"/>
              <a:ext cx="669283" cy="609599"/>
            </a:xfrm>
            <a:prstGeom prst="rect">
              <a:avLst/>
            </a:prstGeom>
          </xdr:spPr>
        </xdr:pic>
        <xdr:grpSp>
          <xdr:nvGrpSpPr>
            <xdr:cNvPr id="56" name="群組 55" descr="放射狀線條">
              <a:extLst>
                <a:ext uri="{FF2B5EF4-FFF2-40B4-BE49-F238E27FC236}">
                  <a16:creationId xmlns:a16="http://schemas.microsoft.com/office/drawing/2014/main" id="{702F2F78-B7B0-446F-ADB3-8EAA3C241065}"/>
                </a:ext>
              </a:extLst>
            </xdr:cNvPr>
            <xdr:cNvGrpSpPr/>
          </xdr:nvGrpSpPr>
          <xdr:grpSpPr>
            <a:xfrm>
              <a:off x="4488738" y="3592566"/>
              <a:ext cx="974505" cy="414995"/>
              <a:chOff x="4488738" y="3592566"/>
              <a:chExt cx="974505" cy="414995"/>
            </a:xfrm>
          </xdr:grpSpPr>
          <xdr:cxnSp macro="">
            <xdr:nvCxnSpPr>
              <xdr:cNvPr id="51" name="直線接點​​ 50" descr="線條">
                <a:extLst>
                  <a:ext uri="{FF2B5EF4-FFF2-40B4-BE49-F238E27FC236}">
                    <a16:creationId xmlns:a16="http://schemas.microsoft.com/office/drawing/2014/main" id="{4E4B0BC5-F4EF-4B17-9BC9-928C6C7A1917}"/>
                  </a:ext>
                </a:extLst>
              </xdr:cNvPr>
              <xdr:cNvCxnSpPr/>
            </xdr:nvCxnSpPr>
            <xdr:spPr>
              <a:xfrm>
                <a:off x="456871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2" name="直線接點 51" descr="線條">
                <a:extLst>
                  <a:ext uri="{FF2B5EF4-FFF2-40B4-BE49-F238E27FC236}">
                    <a16:creationId xmlns:a16="http://schemas.microsoft.com/office/drawing/2014/main" id="{1DB0966E-6679-4153-8A81-5FC1D77A9317}"/>
                  </a:ext>
                </a:extLst>
              </xdr:cNvPr>
              <xdr:cNvCxnSpPr/>
            </xdr:nvCxnSpPr>
            <xdr:spPr>
              <a:xfrm>
                <a:off x="494314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3" name="直線接點 52" descr="線條">
                <a:extLst>
                  <a:ext uri="{FF2B5EF4-FFF2-40B4-BE49-F238E27FC236}">
                    <a16:creationId xmlns:a16="http://schemas.microsoft.com/office/drawing/2014/main" id="{785AF8A8-DB25-40D0-8463-CC3E4A650C35}"/>
                  </a:ext>
                </a:extLst>
              </xdr:cNvPr>
              <xdr:cNvCxnSpPr/>
            </xdr:nvCxnSpPr>
            <xdr:spPr>
              <a:xfrm flipH="1">
                <a:off x="522561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4" name="直線接點 53" descr="線條">
                <a:extLst>
                  <a:ext uri="{FF2B5EF4-FFF2-40B4-BE49-F238E27FC236}">
                    <a16:creationId xmlns:a16="http://schemas.microsoft.com/office/drawing/2014/main" id="{2764F156-2AF3-4295-9B33-3D4D4509F5DC}"/>
                  </a:ext>
                </a:extLst>
              </xdr:cNvPr>
              <xdr:cNvCxnSpPr/>
            </xdr:nvCxnSpPr>
            <xdr:spPr>
              <a:xfrm rot="5400000">
                <a:off x="456214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55" name="直線接點 54" descr="線條">
                <a:extLst>
                  <a:ext uri="{FF2B5EF4-FFF2-40B4-BE49-F238E27FC236}">
                    <a16:creationId xmlns:a16="http://schemas.microsoft.com/office/drawing/2014/main" id="{03A6D3CA-91BC-4116-BBDA-6D02B692FB69}"/>
                  </a:ext>
                </a:extLst>
              </xdr:cNvPr>
              <xdr:cNvCxnSpPr/>
            </xdr:nvCxnSpPr>
            <xdr:spPr>
              <a:xfrm rot="5400000">
                <a:off x="538983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者" refreshedDate="46121.983444791666" createdVersion="6" refreshedVersion="7" minRefreshableVersion="3" recordCount="6" xr:uid="{00000000-000A-0000-FFFF-FFFF03000000}">
  <cacheSource type="worksheet">
    <worksheetSource name="樞紐分析表資料"/>
  </cacheSource>
  <cacheFields count="4">
    <cacheField name="日期" numFmtId="14">
      <sharedItems containsSemiMixedTypes="0" containsNonDate="0" containsDate="1" containsString="0" minDate="2026-02-11T00:00:00" maxDate="2026-04-10T00:00:00"/>
    </cacheField>
    <cacheField name="銷售人員" numFmtId="0">
      <sharedItems/>
    </cacheField>
    <cacheField name="產品" numFmtId="0">
      <sharedItems count="3">
        <s v="啤酒"/>
        <s v="紅酒"/>
        <s v="汽水"/>
      </sharedItems>
    </cacheField>
    <cacheField name="金額" numFmtId="180">
      <sharedItems containsSemiMixedTypes="0" containsString="0" containsNumber="1" containsInteger="1" minValue="510" maxValue="1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d v="2026-02-11T00:00:00"/>
    <s v="安婕"/>
    <x v="0"/>
    <n v="1400"/>
  </r>
  <r>
    <d v="2026-02-16T00:00:00"/>
    <s v="哲翰"/>
    <x v="1"/>
    <n v="1010"/>
  </r>
  <r>
    <d v="2026-03-05T00:00:00"/>
    <s v="安婕"/>
    <x v="0"/>
    <n v="750"/>
  </r>
  <r>
    <d v="2026-03-09T00:00:00"/>
    <s v="哲翰"/>
    <x v="2"/>
    <n v="510"/>
  </r>
  <r>
    <d v="2026-03-29T00:00:00"/>
    <s v="秀晴"/>
    <x v="2"/>
    <n v="1600"/>
  </r>
  <r>
    <d v="2026-04-09T00:00:00"/>
    <s v="雅心"/>
    <x v="1"/>
    <n v="6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樞紐分析表範例" cacheId="3"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E11:F15" firstHeaderRow="1" firstDataRow="1" firstDataCol="1"/>
  <pivotFields count="4">
    <pivotField numFmtId="14" showAll="0"/>
    <pivotField showAll="0"/>
    <pivotField axis="axisRow" subtotalTop="0" showAll="0">
      <items count="4">
        <item x="2"/>
        <item x="1"/>
        <item x="0"/>
        <item t="default"/>
      </items>
    </pivotField>
    <pivotField dataField="1" numFmtId="180" showAll="0"/>
  </pivotFields>
  <rowFields count="1">
    <field x="2"/>
  </rowFields>
  <rowItems count="4">
    <i>
      <x/>
    </i>
    <i>
      <x v="1"/>
    </i>
    <i>
      <x v="2"/>
    </i>
    <i t="grand">
      <x/>
    </i>
  </rowItems>
  <colItems count="1">
    <i/>
  </colItems>
  <dataFields count="1">
    <dataField name="加總 - 金額" fld="3" baseField="2" baseItem="0" numFmtId="180"/>
  </dataFields>
  <formats count="3">
    <format dxfId="17">
      <pivotArea outline="0" collapsedLevelsAreSubtotals="1" fieldPosition="0"/>
    </format>
    <format dxfId="16">
      <pivotArea grandRow="1" outline="0" collapsedLevelsAreSubtotals="1" fieldPosition="0"/>
    </format>
    <format dxfId="15">
      <pivotArea outline="0" fieldPosition="0">
        <references count="1">
          <reference field="4294967294" count="1">
            <x v="0"/>
          </reference>
        </references>
      </pivotArea>
    </format>
  </formats>
  <pivotTableStyleInfo name="樞紐分析表樣式 1" showRowHeaders="1" showColHeaders="1" showRowStripes="0" showColStripes="0" showLastColumn="1"/>
  <extLst>
    <ext xmlns:x14="http://schemas.microsoft.com/office/spreadsheetml/2009/9/main" uri="{962EF5D1-5CA2-4c93-8EF4-DBF5C05439D2}">
      <x14:pivotTableDefinition xmlns:xm="http://schemas.microsoft.com/office/excel/2006/main" altTextSummary="樞紐分析表範例"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0000000}" name="排序" displayName="排序" ref="C31:F37">
  <autoFilter ref="C31:F37" xr:uid="{00000000-0009-0000-0100-00000C000000}"/>
  <tableColumns count="4">
    <tableColumn id="1" xr3:uid="{00000000-0010-0000-0000-000001000000}" name="費用日期" totalsRowLabel="合計" dataCellStyle="日期"/>
    <tableColumn id="2" xr3:uid="{00000000-0010-0000-0000-000002000000}" name="員工"/>
    <tableColumn id="4" xr3:uid="{00000000-0010-0000-0000-000004000000}" name="伙食" dataDxfId="66"/>
    <tableColumn id="5" xr3:uid="{00000000-0010-0000-0000-000005000000}" name="住宿" totalsRowFunction="sum" dataDxfId="65" totalsRowDxfId="64"/>
  </tableColumns>
  <tableStyleInfo name="自訂表格樣式" showFirstColumn="0" showLastColumn="0" showRowStripes="1" showColumnStripes="0"/>
  <extLst>
    <ext xmlns:x14="http://schemas.microsoft.com/office/spreadsheetml/2009/9/main" uri="{504A1905-F514-4f6f-8877-14C23A59335A}">
      <x14:table altTextSummary="按日期排序，或按包含以下四欄的色彩範例表格排序：[費用日期]、[員工]、[伙食] 和 [住宿]"/>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1000000}" name="篩選" displayName="篩選" ref="C49:F55">
  <autoFilter ref="C49:F55" xr:uid="{00000000-0009-0000-0100-00000D000000}"/>
  <tableColumns count="4">
    <tableColumn id="1" xr3:uid="{00000000-0010-0000-0100-000001000000}" name="費用日期" totalsRowLabel="合計" dataCellStyle="日期"/>
    <tableColumn id="2" xr3:uid="{00000000-0010-0000-0100-000002000000}" name="員工"/>
    <tableColumn id="4" xr3:uid="{00000000-0010-0000-0100-000004000000}" name="伙食" dataDxfId="63"/>
    <tableColumn id="5" xr3:uid="{00000000-0010-0000-0100-000005000000}" name="住宿" totalsRowFunction="sum" dataDxfId="62" totalsRowDxfId="61"/>
  </tableColumns>
  <tableStyleInfo name="自訂表格樣式" showFirstColumn="0" showLastColumn="0" showRowStripes="1" showColumnStripes="0"/>
  <extLst>
    <ext xmlns:x14="http://schemas.microsoft.com/office/spreadsheetml/2009/9/main" uri="{504A1905-F514-4f6f-8877-14C23A59335A}">
      <x14:table altTextSummary="篩選含有以下四欄之範例表格的其他方法：[費用日期]、[員工]、[伙食] 和 [住宿]"/>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計算結果欄" displayName="計算結果欄" ref="C33:H41" headerRowDxfId="60" dataDxfId="59" totalsRowDxfId="58">
  <autoFilter ref="C33:H41" xr:uid="{00000000-0009-0000-0100-000002000000}"/>
  <tableColumns count="6">
    <tableColumn id="1" xr3:uid="{00000000-0010-0000-0200-000001000000}" name="部門" totalsRowLabel="合計" dataDxfId="57"/>
    <tableColumn id="2" xr3:uid="{00000000-0010-0000-0200-000002000000}" name="類別" dataDxfId="56"/>
    <tableColumn id="3" xr3:uid="{00000000-0010-0000-0200-000003000000}" name="10 月" totalsRowDxfId="55" dataCellStyle="貨幣"/>
    <tableColumn id="4" xr3:uid="{00000000-0010-0000-0200-000004000000}" name="11 月" totalsRowDxfId="54" dataCellStyle="貨幣"/>
    <tableColumn id="5" xr3:uid="{00000000-0010-0000-0200-000005000000}" name="12 月" totalsRowDxfId="53" dataCellStyle="貨幣"/>
    <tableColumn id="6" xr3:uid="{00000000-0010-0000-0200-000006000000}" name="合計" totalsRowFunction="count" dataCellStyle="貨幣"/>
  </tableColumns>
  <tableStyleInfo name="自訂表格樣式" showFirstColumn="0" showLastColumn="0" showRowStripes="1" showColumnStripes="0"/>
  <extLst>
    <ext xmlns:x14="http://schemas.microsoft.com/office/spreadsheetml/2009/9/main" uri="{504A1905-F514-4f6f-8877-14C23A59335A}">
      <x14:table altTextSummary="用來繪製表格中的計算結果欄的範例表格"/>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合計列" displayName="合計列" ref="C53:E61" headerRowDxfId="52" dataDxfId="51" totalsRowDxfId="50">
  <autoFilter ref="C53:E61" xr:uid="{00000000-0009-0000-0100-000003000000}"/>
  <tableColumns count="3">
    <tableColumn id="1" xr3:uid="{00000000-0010-0000-0300-000001000000}" name="部門" totalsRowLabel="合計" dataDxfId="49"/>
    <tableColumn id="2" xr3:uid="{00000000-0010-0000-0300-000002000000}" name="類別" dataDxfId="48"/>
    <tableColumn id="6" xr3:uid="{00000000-0010-0000-0300-000006000000}" name="銷售" totalsRowFunction="sum" totalsRowDxfId="47" dataCellStyle="貨幣"/>
  </tableColumns>
  <tableStyleInfo name="自訂表格樣式" showFirstColumn="0" showLastColumn="0" showRowStripes="1" showColumnStripes="0"/>
  <extLst>
    <ext xmlns:x14="http://schemas.microsoft.com/office/spreadsheetml/2009/9/main" uri="{504A1905-F514-4f6f-8877-14C23A59335A}">
      <x14:table altTextSummary="用來繪製表格中的合計列的範例表格"/>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4000000}" name="分析資料" displayName="分析資料" ref="C5:G13" totalsRowShown="0" headerRowDxfId="46" dataDxfId="45">
  <autoFilter ref="C5:G13" xr:uid="{00000000-0009-0000-0100-000010000000}"/>
  <tableColumns count="5">
    <tableColumn id="1" xr3:uid="{00000000-0010-0000-0400-000001000000}" name="部門" dataDxfId="44"/>
    <tableColumn id="2" xr3:uid="{00000000-0010-0000-0400-000002000000}" name="類別" dataDxfId="43"/>
    <tableColumn id="3" xr3:uid="{00000000-0010-0000-0400-000003000000}" name="10 月" dataCellStyle="貨幣"/>
    <tableColumn id="4" xr3:uid="{00000000-0010-0000-0400-000004000000}" name="11 月" dataCellStyle="貨幣"/>
    <tableColumn id="5" xr3:uid="{00000000-0010-0000-0400-000005000000}" name="12 月" dataCellStyle="貨幣"/>
  </tableColumns>
  <tableStyleInfo name="自訂表格樣式" showFirstColumn="0" showLastColumn="0" showRowStripes="1" showColumnStripes="0"/>
  <extLst>
    <ext xmlns:x14="http://schemas.microsoft.com/office/spreadsheetml/2009/9/main" uri="{504A1905-F514-4f6f-8877-14C23A59335A}">
      <x14:table altTextSummary="篩選資料用的快速分析表格。此範例資料包含 [部門]、[類別]、[10 月]、[11 月] 和 [12 月] 的範本資料金額"/>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05000000}" name="圖表資料" displayName="圖表資料" ref="C34:G42" headerRowDxfId="42" dataDxfId="41" totalsRowDxfId="40">
  <autoFilter ref="C34:G42" xr:uid="{00000000-0009-0000-0100-000011000000}"/>
  <tableColumns count="5">
    <tableColumn id="1" xr3:uid="{00000000-0010-0000-0500-000001000000}" name="部門" totalsRowLabel="合計" dataDxfId="39"/>
    <tableColumn id="2" xr3:uid="{00000000-0010-0000-0500-000002000000}" name="類別" dataDxfId="38"/>
    <tableColumn id="3" xr3:uid="{00000000-0010-0000-0500-000003000000}" name="10 月" dataCellStyle="貨幣"/>
    <tableColumn id="4" xr3:uid="{00000000-0010-0000-0500-000004000000}" name="11 月" dataCellStyle="貨幣"/>
    <tableColumn id="5" xr3:uid="{00000000-0010-0000-0500-000005000000}" name="12 月" totalsRowFunction="sum" totalsRowDxfId="37" dataCellStyle="貨幣"/>
  </tableColumns>
  <tableStyleInfo name="自訂表格樣式" showFirstColumn="0" showLastColumn="0" showRowStripes="1" showColumnStripes="0"/>
  <extLst>
    <ext xmlns:x14="http://schemas.microsoft.com/office/spreadsheetml/2009/9/main" uri="{504A1905-F514-4f6f-8877-14C23A59335A}">
      <x14:table altTextSummary="快速建立包含以下五欄的圖表範例表格：[部門]、[類別]、[10 月]、[11 月] 和 [12 月]"/>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06000000}" name="走勢圖資料" displayName="走勢圖資料" ref="C54:G62" headerRowDxfId="36" dataDxfId="35" totalsRowDxfId="34">
  <autoFilter ref="C54:G62" xr:uid="{00000000-0009-0000-0100-000013000000}"/>
  <tableColumns count="5">
    <tableColumn id="1" xr3:uid="{00000000-0010-0000-0600-000001000000}" name="部門" totalsRowLabel="合計" dataDxfId="33"/>
    <tableColumn id="2" xr3:uid="{00000000-0010-0000-0600-000002000000}" name="類別" dataDxfId="32"/>
    <tableColumn id="3" xr3:uid="{00000000-0010-0000-0600-000003000000}" name="10 月" dataCellStyle="貨幣"/>
    <tableColumn id="4" xr3:uid="{00000000-0010-0000-0600-000004000000}" name="11 月" dataCellStyle="貨幣"/>
    <tableColumn id="5" xr3:uid="{00000000-0010-0000-0600-000005000000}" name="12 月" totalsRowFunction="sum" totalsRowDxfId="31" dataCellStyle="貨幣"/>
  </tableColumns>
  <tableStyleInfo name="自訂表格樣式" showFirstColumn="0" showLastColumn="0" showRowStripes="1" showColumnStripes="0"/>
  <extLst>
    <ext xmlns:x14="http://schemas.microsoft.com/office/spreadsheetml/2009/9/main" uri="{504A1905-F514-4f6f-8877-14C23A59335A}">
      <x14:table altTextSummary="快速建立包含以下五欄的走勢圖範例表格：[部門]、[類別]、[10 月]、[11 月] 和 [12 月]。"/>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7000000}" name="建議的圖表資料" displayName="建議的圖表資料" ref="C5:D11" headerRowDxfId="30" dataDxfId="29" totalsRowDxfId="28">
  <autoFilter ref="C5:D11" xr:uid="{00000000-0009-0000-0100-000018000000}"/>
  <tableColumns count="2">
    <tableColumn id="1" xr3:uid="{00000000-0010-0000-0700-000001000000}" name="年份" totalsRowLabel="合計" dataDxfId="27"/>
    <tableColumn id="2" xr3:uid="{00000000-0010-0000-0700-000002000000}" name="會議出席" totalsRowFunction="sum" dataDxfId="26"/>
  </tableColumns>
  <tableStyleInfo name="自訂表格樣式" showFirstColumn="0" showLastColumn="0" showRowStripes="1" showColumnStripes="0"/>
  <extLst>
    <ext xmlns:x14="http://schemas.microsoft.com/office/spreadsheetml/2009/9/main" uri="{504A1905-F514-4f6f-8877-14C23A59335A}">
      <x14:table altTextSummary="用來繪製圖表的範例表格"/>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08000000}" name="建議圖表資料2" displayName="建議圖表資料2" ref="D67:F73" headerRowDxfId="25" dataDxfId="24" totalsRowDxfId="23">
  <autoFilter ref="D67:F73" xr:uid="{00000000-0009-0000-0100-00001A000000}"/>
  <tableColumns count="3">
    <tableColumn id="1" xr3:uid="{00000000-0010-0000-0800-000001000000}" name="日期" totalsRowLabel="合計" dataDxfId="22" totalsRowDxfId="21" dataCellStyle="年份"/>
    <tableColumn id="2" xr3:uid="{00000000-0010-0000-0800-000002000000}" name="會議出席" dataDxfId="20"/>
    <tableColumn id="3" xr3:uid="{00000000-0010-0000-0800-000003000000}" name="食物銷售" totalsRowFunction="sum" dataDxfId="19" totalsRowDxfId="18" dataCellStyle="貨幣"/>
  </tableColumns>
  <tableStyleInfo name="自訂表格樣式" showFirstColumn="0" showLastColumn="0" showRowStripes="1" showColumnStripes="0"/>
  <extLst>
    <ext xmlns:x14="http://schemas.microsoft.com/office/spreadsheetml/2009/9/main" uri="{504A1905-F514-4f6f-8877-14C23A59335A}">
      <x14:table altTextSummary="用來繪製圖表的範例表格"/>
    </ext>
  </extLst>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09000000}" name="樞紐分析表資料" displayName="樞紐分析表資料" ref="C3:F9" totalsRowShown="0" headerRowDxfId="14" dataDxfId="13">
  <autoFilter ref="C3:F9" xr:uid="{00000000-0009-0000-0100-00001E000000}"/>
  <tableColumns count="4">
    <tableColumn id="1" xr3:uid="{00000000-0010-0000-0900-000001000000}" name="日期" dataDxfId="12" dataCellStyle="日期"/>
    <tableColumn id="2" xr3:uid="{00000000-0010-0000-0900-000002000000}" name="銷售人員" dataDxfId="11"/>
    <tableColumn id="3" xr3:uid="{00000000-0010-0000-0900-000003000000}" name="產品" dataDxfId="10"/>
    <tableColumn id="4" xr3:uid="{00000000-0010-0000-0900-000004000000}" name="金額" dataDxfId="9"/>
  </tableColumns>
  <tableStyleInfo name="自訂表格樣式" showFirstColumn="0" showLastColumn="0" showRowStripes="1" showColumnStripes="0"/>
  <extLst>
    <ext xmlns:x14="http://schemas.microsoft.com/office/spreadsheetml/2009/9/main" uri="{504A1905-F514-4f6f-8877-14C23A59335A}">
      <x14:table altTextSummary="用來使用樞紐分析表對資料進行摘要的範例表格"/>
    </ext>
  </extLst>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樞紐分析表資料2" displayName="樞紐分析表資料2" ref="C34:F40" totalsRowShown="0" headerRowDxfId="8" dataDxfId="7">
  <autoFilter ref="C34:F40" xr:uid="{00000000-0009-0000-0100-000005000000}"/>
  <tableColumns count="4">
    <tableColumn id="1" xr3:uid="{00000000-0010-0000-0A00-000001000000}" name="日期" dataDxfId="6" dataCellStyle="日期"/>
    <tableColumn id="2" xr3:uid="{00000000-0010-0000-0A00-000002000000}" name="銷售人員" dataDxfId="5"/>
    <tableColumn id="3" xr3:uid="{00000000-0010-0000-0A00-000003000000}" name="產品" dataDxfId="4"/>
    <tableColumn id="4" xr3:uid="{00000000-0010-0000-0A00-000004000000}" name="金額" dataDxfId="3"/>
  </tableColumns>
  <tableStyleInfo name="自訂表格樣式" showFirstColumn="0" showLastColumn="0" showRowStripes="1" showColumnStripes="0"/>
  <extLst>
    <ext xmlns:x14="http://schemas.microsoft.com/office/spreadsheetml/2009/9/main" uri="{504A1905-F514-4f6f-8877-14C23A59335A}">
      <x14:table altTextSummary="建立包含以下四欄的樞紐分析表範例表格：[日期]、[銷售人員]、[產品] 和 [金額]"/>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6E747A"/>
      </a:dk2>
      <a:lt2>
        <a:srgbClr val="E7E6E6"/>
      </a:lt2>
      <a:accent1>
        <a:srgbClr val="5B9BD5"/>
      </a:accent1>
      <a:accent2>
        <a:srgbClr val="ED7D31"/>
      </a:accent2>
      <a:accent3>
        <a:srgbClr val="A5A5A5"/>
      </a:accent3>
      <a:accent4>
        <a:srgbClr val="FFC000"/>
      </a:accent4>
      <a:accent5>
        <a:srgbClr val="4472C4"/>
      </a:accent5>
      <a:accent6>
        <a:srgbClr val="70AD47"/>
      </a:accent6>
      <a:hlink>
        <a:srgbClr val="085296"/>
      </a:hlink>
      <a:folHlink>
        <a:srgbClr val="993366"/>
      </a:folHlink>
    </a:clrScheme>
    <a:fontScheme name="Take a tour">
      <a:majorFont>
        <a:latin typeface="Segoe UI"/>
        <a:ea typeface=""/>
        <a:cs typeface=""/>
      </a:majorFont>
      <a:minorFont>
        <a:latin typeface="Calibri"/>
        <a:ea typeface=""/>
        <a:cs typeface=""/>
      </a:minorFont>
    </a:fontScheme>
    <a:fmtScheme name="Office">
      <a:fillStyleLst>
        <a:solidFill>
          <a:schemeClr val="phClr"/>
        </a:solidFill>
        <a:gradFill rotWithShape="1">
          <a:gsLst>
            <a:gs pos="0">
              <a:schemeClr val="phClr">
                <a:lumMod val="157000"/>
                <a:satMod val="101000"/>
              </a:schemeClr>
            </a:gs>
            <a:gs pos="50000">
              <a:schemeClr val="phClr">
                <a:lumMod val="137000"/>
                <a:satMod val="103000"/>
              </a:schemeClr>
            </a:gs>
            <a:gs pos="100000">
              <a:schemeClr val="phClr">
                <a:lumMod val="115000"/>
                <a:satMod val="109000"/>
              </a:schemeClr>
            </a:gs>
          </a:gsLst>
          <a:lin ang="5400000" scaled="0"/>
        </a:gradFill>
        <a:gradFill rotWithShape="1">
          <a:gsLst>
            <a:gs pos="0">
              <a:schemeClr val="phClr">
                <a:satMod val="103000"/>
                <a:lumMod val="118000"/>
              </a:schemeClr>
            </a:gs>
            <a:gs pos="50000">
              <a:schemeClr val="phClr">
                <a:satMod val="89000"/>
                <a:lumMod val="91000"/>
              </a:schemeClr>
            </a:gs>
            <a:gs pos="100000">
              <a:schemeClr val="phClr">
                <a:lumMod val="69000"/>
              </a:schemeClr>
            </a:gs>
          </a:gsLst>
          <a:lin ang="5400000" scaled="0"/>
        </a:gra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100000"/>
                <a:satMod val="100000"/>
                <a:shade val="0"/>
              </a:schemeClr>
            </a:gs>
            <a:gs pos="0">
              <a:scrgbClr r="0" g="0" b="0"/>
            </a:gs>
            <a:gs pos="100000">
              <a:schemeClr val="phClr">
                <a:shade val="100000"/>
                <a:satMod val="100000"/>
              </a:schemeClr>
            </a:gs>
          </a:gsLst>
          <a:lin ang="54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upport.office.com/zh-TW/article/use-excel-as-your-calculator-a1abc057-ed11-443a-a635-68216555ad0a?ui=zh-TW&amp;rs=en-001&amp;ad=us" TargetMode="External"/><Relationship Id="rId2" Type="http://schemas.openxmlformats.org/officeDocument/2006/relationships/hyperlink" Target="https://support.office.com/zh-TW/article/sumif-function-169b8c99-c05c-4483-a712-1697a653039b?ui=zh-TW&amp;rs=en-001&amp;ad=us" TargetMode="External"/><Relationship Id="rId1" Type="http://schemas.openxmlformats.org/officeDocument/2006/relationships/hyperlink" Target="https://support.office.com/zh-TW/article/sum-function-043e1c7d-7726-4e80-8f32-07b23e057f89?ui=zh-TW&amp;rs=en-001&amp;ad=us"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support.office.com/zh-TW/article/excel-for-windows-training-9bc05390-e94c-46af-a5b3-d7c22f6990bb?ui=zh-TW&amp;rs=en-001&amp;ad=us"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upport.office.com/zh-TW/article/fill-a-formula-down-into-adjacent-cells-041edfe2-05bc-40e6-b933-ef48c3f308c6?ui=zh-TW&amp;rs=en-001&amp;ad=us" TargetMode="External"/><Relationship Id="rId1" Type="http://schemas.openxmlformats.org/officeDocument/2006/relationships/hyperlink" Target="https://support.office.com/zh-TW/article/fill-data-automatically-in-worksheet-cells-74e31bdd-d993-45da-aa82-35a236c5b5db?ui=zh-TW&amp;rs=en-001&amp;ad=us"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https://support.office.com/zh-TW/article/left-leftb-functions-9203d2d2-7960-479b-84c6-1ea52b99640c?ui=zh-TW&amp;rs=en-001&amp;ad=us" TargetMode="External"/><Relationship Id="rId7" Type="http://schemas.openxmlformats.org/officeDocument/2006/relationships/printerSettings" Target="../printerSettings/printerSettings4.bin"/><Relationship Id="rId2" Type="http://schemas.openxmlformats.org/officeDocument/2006/relationships/hyperlink" Target="https://support.office.com/zh-TW/article/get-transform-in-excel-881c63c6-37c5-4ca2-b616-59e18d75b4de?ui=zh-TW&amp;rs=en-001&amp;ad=us" TargetMode="External"/><Relationship Id="rId1" Type="http://schemas.openxmlformats.org/officeDocument/2006/relationships/hyperlink" Target="https://support.office.com/zh-TW/article/split-text-into-different-columns-with-the-convert-text-to-columns-wizard-30b14928-5550-41f5-97ca-7a3e9c363ed7?ui=zh-TW&amp;rs=en-001&amp;ad=us" TargetMode="External"/><Relationship Id="rId6" Type="http://schemas.openxmlformats.org/officeDocument/2006/relationships/hyperlink" Target="https://support.office.com/zh-TW/article/len-lenb-functions-29236f94-cedc-429d-affd-b5e33d2c67cb?ui=zh-TW&amp;rs=en-001&amp;ad=us" TargetMode="External"/><Relationship Id="rId5" Type="http://schemas.openxmlformats.org/officeDocument/2006/relationships/hyperlink" Target="https://support.office.com/zh-TW/article/find-findb-functions-c7912941-af2a-4bdf-a553-d0d89b0a0628?ui=zh-TW&amp;rs=en-001&amp;ad=us" TargetMode="External"/><Relationship Id="rId4" Type="http://schemas.openxmlformats.org/officeDocument/2006/relationships/hyperlink" Target="https://support.office.com/zh-TW/article/right-rightb-functions-240267ee-9afa-4639-a02b-f19e1786cf2f?ui=zh-TW&amp;rs=en-001&amp;ad=us"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support.office.com/zh-TW/article/transpose-rotate-data-from-rows-to-columns-or-vice-versa-3419f2e3-beab-4318-aae5-d0f862209744?ui=zh-TW&amp;rs=en-001&amp;ad=us" TargetMode="External"/><Relationship Id="rId2" Type="http://schemas.openxmlformats.org/officeDocument/2006/relationships/hyperlink" Target="https://support.office.com/zh-TW/article/transpose-function-ed039415-ed8a-4a81-93e9-4b6dfac76027?ui=zh-TW&amp;rs=en-001&amp;ad=us" TargetMode="External"/><Relationship Id="rId1" Type="http://schemas.openxmlformats.org/officeDocument/2006/relationships/hyperlink" Target="https://support.office.com/zh-TW/article/create-an-array-formula-e43e12e0-afc6-4a12-bc7f-48361075954d?ui=zh-TW&amp;rs=en-001&amp;ad=us" TargetMode="External"/><Relationship Id="rId5" Type="http://schemas.openxmlformats.org/officeDocument/2006/relationships/drawing" Target="../drawings/drawing5.xml"/><Relationship Id="rId4"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support.office.com/zh-TW/article/sort-data-in-a-range-or-table-62d0b95d-2a90-4610-a6ae-2e545c4a4654?ui=zh-TW&amp;rs=en-001&amp;ad=us" TargetMode="External"/><Relationship Id="rId1" Type="http://schemas.openxmlformats.org/officeDocument/2006/relationships/hyperlink" Target="https://support.office.com/zh-TW/article/filter-data-in-a-range-or-table-01832226-31b5-4568-8806-38c37dcc180e?ui=zh-TW&amp;rs=en-001&amp;ad=us" TargetMode="External"/><Relationship Id="rId6" Type="http://schemas.openxmlformats.org/officeDocument/2006/relationships/table" Target="../tables/table2.xml"/><Relationship Id="rId5" Type="http://schemas.openxmlformats.org/officeDocument/2006/relationships/table" Target="../tables/table1.xm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zh-TW/article/overview-of-excel-tables-7ab0bb7d-3a9e-4b56-a3c9-6c94334e492c?ui=zh-TW&amp;rs=en-001&amp;ad=us" TargetMode="External"/><Relationship Id="rId7" Type="http://schemas.openxmlformats.org/officeDocument/2006/relationships/table" Target="../tables/table4.xml"/><Relationship Id="rId2" Type="http://schemas.openxmlformats.org/officeDocument/2006/relationships/hyperlink" Target="https://support.office.com/zh-TW/article/total-the-data-in-an-excel-table-6944378f-a222-4449-93d8-474386b11f20?ui=zh-TW&amp;rs=en-001&amp;ad=us" TargetMode="External"/><Relationship Id="rId1" Type="http://schemas.openxmlformats.org/officeDocument/2006/relationships/hyperlink" Target="https://support.office.com/zh-TW/article/use-calculated-columns-in-an-excel-table-873fbac6-7110-4300-8f6f-aafa2ea11ce8?ui=zh-TW&amp;rs=en-001&amp;ad=us" TargetMode="External"/><Relationship Id="rId6" Type="http://schemas.openxmlformats.org/officeDocument/2006/relationships/table" Target="../tables/table3.x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support.office.com/zh-TW/article/apply-data-validation-to-cells-29fecbcc-d1b9-42c1-9d76-eff3ce5f7249?ui=zh-TW&amp;rs=en-001&amp;ad=us" TargetMode="External"/><Relationship Id="rId1" Type="http://schemas.openxmlformats.org/officeDocument/2006/relationships/hyperlink" Target="https://support.office.com/zh-TW/article/create-a-drop-down-list-7693307a-59ef-400a-b769-c5402dce407b?ui=zh-TW&amp;rs=en-001&amp;ad=u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7" Type="http://schemas.openxmlformats.org/officeDocument/2006/relationships/table" Target="../tables/table7.xml"/><Relationship Id="rId2" Type="http://schemas.openxmlformats.org/officeDocument/2006/relationships/hyperlink" Target="https://support.office.com/zh-TW/article/analyze-trends-in-data-using-sparklines-be6579cf-a8e3-471a-a459-873614413ce1?ui=zh-TW&amp;rs=en-001&amp;ad=us" TargetMode="External"/><Relationship Id="rId1" Type="http://schemas.openxmlformats.org/officeDocument/2006/relationships/hyperlink" Target="https://support.office.com/zh-TW/article/analyze-your-data-instantly-9e382e73-7f5e-495a-a8dc-be8225b1bb78?ui=zh-TW&amp;rs=en-001&amp;ad=us" TargetMode="Externa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pport.office.com/zh-TW/article/create-a-chart-from-start-to-finish-0baf399e-dd61-4e18-8a73-b3fd5d5680c2?ui=zh-TW&amp;rs=en-001&amp;ad=us" TargetMode="External"/><Relationship Id="rId7" Type="http://schemas.openxmlformats.org/officeDocument/2006/relationships/table" Target="../tables/table9.xml"/><Relationship Id="rId2" Type="http://schemas.openxmlformats.org/officeDocument/2006/relationships/hyperlink" Target="https://support.office.com/zh-TW/article/add-or-remove-a-secondary-axis-in-a-chart-in-excel-91da1e2f-5db1-41e9-8908-e1a2e14dd5a9?redirectsourcepath=%252farticle%252f1d119e2d-1a5f-45a4-8ad3-bacc7430c0a1&amp;ui=zh-TW&amp;rs=en-001&amp;ad=us" TargetMode="External"/><Relationship Id="rId1" Type="http://schemas.openxmlformats.org/officeDocument/2006/relationships/hyperlink" Target="https://support.office.com/zh-TW/article/available-chart-types-in-office-a6187218-807e-4103-9e0a-27cdb19afb90?ui=zh-TW&amp;rs=en-001&amp;ad=us" TargetMode="External"/><Relationship Id="rId6" Type="http://schemas.openxmlformats.org/officeDocument/2006/relationships/table" Target="../tables/table8.xml"/><Relationship Id="rId5" Type="http://schemas.openxmlformats.org/officeDocument/2006/relationships/drawing" Target="../drawings/drawing10.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support.office.com/zh-TW/article/create-a-pivottable-to-analyze-worksheet-data-a9a84538-bfe9-40a9-a8e9-f99134456576?ui=zh-TW&amp;rs=en-001&amp;ad=us" TargetMode="External"/><Relationship Id="rId7" Type="http://schemas.openxmlformats.org/officeDocument/2006/relationships/table" Target="../tables/table11.xml"/><Relationship Id="rId2" Type="http://schemas.openxmlformats.org/officeDocument/2006/relationships/hyperlink" Target="https://support.office.com/zh-TW/article/use-the-field-list-to-arrange-fields-in-a-pivottable-43980e05-a585-4fcd-bd91-80160adfebec?ui=zh-TW&amp;rs=en-001&amp;ad=us" TargetMode="External"/><Relationship Id="rId1" Type="http://schemas.openxmlformats.org/officeDocument/2006/relationships/pivotTable" Target="../pivotTables/pivotTable1.xml"/><Relationship Id="rId6" Type="http://schemas.openxmlformats.org/officeDocument/2006/relationships/table" Target="../tables/table10.xml"/><Relationship Id="rId5" Type="http://schemas.openxmlformats.org/officeDocument/2006/relationships/drawing" Target="../drawings/drawing11.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hyperlink" Target="https://support.office.com/zh-TW/article/what-s-new-in-excel-for-office-365-5fdb9208-ff33-45b6-9e08-1f5cdb3a6c73?ui=zh-TW&amp;rs=en-001&amp;ad=us" TargetMode="External"/><Relationship Id="rId1" Type="http://schemas.openxmlformats.org/officeDocument/2006/relationships/hyperlink" Target="https://techcommunity.microsoft.com/t5/excel/ct-p/excel_cat"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workbookViewId="0"/>
  </sheetViews>
  <sheetFormatPr defaultColWidth="11.21875" defaultRowHeight="20.25" customHeight="1" x14ac:dyDescent="0.25"/>
  <cols>
    <col min="1" max="1" width="101" style="4" customWidth="1"/>
    <col min="2" max="2" width="3.6640625" style="4" customWidth="1"/>
    <col min="3" max="16384" width="11.21875" style="4"/>
  </cols>
  <sheetData>
    <row r="1" spans="1:1" ht="15" customHeight="1" x14ac:dyDescent="0.25">
      <c r="A1" s="3" t="s">
        <v>0</v>
      </c>
    </row>
    <row r="2" spans="1:1" ht="92.25" x14ac:dyDescent="1.35">
      <c r="A2" s="5" t="s">
        <v>1</v>
      </c>
    </row>
    <row r="3" spans="1:1" ht="45" x14ac:dyDescent="0.35">
      <c r="A3" s="6" t="s">
        <v>370</v>
      </c>
    </row>
    <row r="4" spans="1:1" ht="264" customHeight="1" x14ac:dyDescent="0.25">
      <c r="A4" s="7" t="s">
        <v>2</v>
      </c>
    </row>
    <row r="5" spans="1:1" ht="20.25" customHeight="1" x14ac:dyDescent="0.35">
      <c r="A5" s="6"/>
    </row>
  </sheetData>
  <phoneticPr fontId="22" type="noConversion"/>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G91"/>
  <sheetViews>
    <sheetView showGridLines="0" tabSelected="1" zoomScaleNormal="100" zoomScalePageLayoutView="125" workbookViewId="0"/>
  </sheetViews>
  <sheetFormatPr defaultColWidth="8.88671875" defaultRowHeight="15" customHeight="1" x14ac:dyDescent="0.25"/>
  <cols>
    <col min="1" max="1" width="12.77734375" style="8" customWidth="1"/>
    <col min="2" max="2" width="63.5546875" style="49" customWidth="1"/>
    <col min="3" max="16384" width="8.88671875" style="49"/>
  </cols>
  <sheetData>
    <row r="1" spans="1:7" ht="60" customHeight="1" x14ac:dyDescent="0.5">
      <c r="A1" s="8" t="s">
        <v>3</v>
      </c>
      <c r="B1" s="25"/>
    </row>
    <row r="2" spans="1:7" ht="15" customHeight="1" x14ac:dyDescent="0.25">
      <c r="A2" s="8" t="s">
        <v>4</v>
      </c>
    </row>
    <row r="3" spans="1:7" ht="15" customHeight="1" x14ac:dyDescent="0.25">
      <c r="A3" s="8" t="s">
        <v>5</v>
      </c>
      <c r="B3" s="26"/>
      <c r="C3" s="20" t="s">
        <v>47</v>
      </c>
      <c r="D3" s="20" t="s">
        <v>59</v>
      </c>
      <c r="F3" s="20" t="s">
        <v>62</v>
      </c>
      <c r="G3" s="20" t="s">
        <v>59</v>
      </c>
    </row>
    <row r="4" spans="1:7" ht="15" customHeight="1" x14ac:dyDescent="0.25">
      <c r="A4" s="8" t="s">
        <v>6</v>
      </c>
      <c r="C4" s="21" t="s">
        <v>48</v>
      </c>
      <c r="D4" s="21">
        <v>50</v>
      </c>
      <c r="F4" s="21" t="s">
        <v>63</v>
      </c>
      <c r="G4" s="21">
        <v>50</v>
      </c>
    </row>
    <row r="5" spans="1:7" s="50" customFormat="1" ht="15" customHeight="1" x14ac:dyDescent="0.25">
      <c r="A5" s="8" t="s">
        <v>7</v>
      </c>
      <c r="C5" s="21" t="s">
        <v>49</v>
      </c>
      <c r="D5" s="21">
        <v>20</v>
      </c>
      <c r="F5" s="21" t="s">
        <v>64</v>
      </c>
      <c r="G5" s="21">
        <v>30</v>
      </c>
    </row>
    <row r="6" spans="1:7" s="50" customFormat="1" ht="15" customHeight="1" x14ac:dyDescent="0.25">
      <c r="A6" s="8" t="s">
        <v>8</v>
      </c>
      <c r="B6" s="27"/>
      <c r="C6" s="21" t="s">
        <v>50</v>
      </c>
      <c r="D6" s="21">
        <v>60</v>
      </c>
      <c r="F6" s="21" t="s">
        <v>65</v>
      </c>
      <c r="G6" s="21">
        <v>10</v>
      </c>
    </row>
    <row r="7" spans="1:7" s="50" customFormat="1" ht="15" customHeight="1" x14ac:dyDescent="0.25">
      <c r="A7" s="8" t="s">
        <v>9</v>
      </c>
      <c r="C7" s="21" t="s">
        <v>51</v>
      </c>
      <c r="D7" s="21">
        <v>40</v>
      </c>
      <c r="F7" s="21" t="s">
        <v>66</v>
      </c>
      <c r="G7" s="21">
        <v>50</v>
      </c>
    </row>
    <row r="8" spans="1:7" s="50" customFormat="1" ht="15" customHeight="1" x14ac:dyDescent="0.25">
      <c r="A8" s="8" t="s">
        <v>10</v>
      </c>
      <c r="D8" s="22"/>
      <c r="G8" s="22"/>
    </row>
    <row r="9" spans="1:7" s="50" customFormat="1" ht="15" customHeight="1" x14ac:dyDescent="0.25">
      <c r="A9" s="8" t="s">
        <v>11</v>
      </c>
    </row>
    <row r="10" spans="1:7" s="50" customFormat="1" ht="15" customHeight="1" x14ac:dyDescent="0.25">
      <c r="A10" s="8" t="s">
        <v>12</v>
      </c>
      <c r="C10" s="20" t="s">
        <v>52</v>
      </c>
      <c r="D10" s="20" t="s">
        <v>59</v>
      </c>
      <c r="F10" s="20" t="s">
        <v>52</v>
      </c>
      <c r="G10" s="20" t="s">
        <v>59</v>
      </c>
    </row>
    <row r="11" spans="1:7" s="50" customFormat="1" ht="15" customHeight="1" x14ac:dyDescent="0.25">
      <c r="A11" s="8" t="s">
        <v>13</v>
      </c>
      <c r="C11" s="21" t="s">
        <v>53</v>
      </c>
      <c r="D11" s="21">
        <v>50</v>
      </c>
      <c r="F11" s="21" t="s">
        <v>53</v>
      </c>
      <c r="G11" s="21">
        <v>50</v>
      </c>
    </row>
    <row r="12" spans="1:7" s="50" customFormat="1" ht="15" customHeight="1" x14ac:dyDescent="0.25">
      <c r="A12" s="8" t="s">
        <v>14</v>
      </c>
      <c r="C12" s="21" t="s">
        <v>54</v>
      </c>
      <c r="D12" s="21">
        <v>100</v>
      </c>
      <c r="F12" s="21" t="s">
        <v>54</v>
      </c>
      <c r="G12" s="21">
        <v>100</v>
      </c>
    </row>
    <row r="13" spans="1:7" s="50" customFormat="1" ht="15" customHeight="1" x14ac:dyDescent="0.25">
      <c r="A13" s="8" t="s">
        <v>15</v>
      </c>
      <c r="C13" s="21" t="s">
        <v>55</v>
      </c>
      <c r="D13" s="21">
        <v>40</v>
      </c>
      <c r="F13" s="21" t="s">
        <v>55</v>
      </c>
      <c r="G13" s="21">
        <v>40</v>
      </c>
    </row>
    <row r="14" spans="1:7" s="50" customFormat="1" ht="15" customHeight="1" x14ac:dyDescent="0.25">
      <c r="A14" s="8"/>
      <c r="C14" s="21" t="s">
        <v>56</v>
      </c>
      <c r="D14" s="21">
        <v>50</v>
      </c>
      <c r="F14" s="21" t="s">
        <v>56</v>
      </c>
      <c r="G14" s="21">
        <v>50</v>
      </c>
    </row>
    <row r="15" spans="1:7" s="50" customFormat="1" ht="15" customHeight="1" thickBot="1" x14ac:dyDescent="0.3">
      <c r="A15" s="8"/>
      <c r="C15" s="21" t="s">
        <v>57</v>
      </c>
      <c r="D15" s="21">
        <v>20</v>
      </c>
      <c r="F15" s="21" t="s">
        <v>57</v>
      </c>
      <c r="G15" s="21">
        <v>20</v>
      </c>
    </row>
    <row r="16" spans="1:7" s="50" customFormat="1" ht="15" customHeight="1" thickTop="1" thickBot="1" x14ac:dyDescent="0.3">
      <c r="A16" s="8"/>
      <c r="D16" s="22"/>
      <c r="G16" s="53"/>
    </row>
    <row r="17" spans="1:1" s="50" customFormat="1" ht="15" customHeight="1" thickTop="1" x14ac:dyDescent="0.25">
      <c r="A17" s="8"/>
    </row>
    <row r="18" spans="1:1" s="50" customFormat="1" ht="15" customHeight="1" x14ac:dyDescent="0.25">
      <c r="A18" s="8"/>
    </row>
    <row r="19" spans="1:1" s="50" customFormat="1" ht="15" customHeight="1" x14ac:dyDescent="0.25">
      <c r="A19" s="8"/>
    </row>
    <row r="20" spans="1:1" s="50" customFormat="1" ht="15" customHeight="1" x14ac:dyDescent="0.25">
      <c r="A20" s="8"/>
    </row>
    <row r="21" spans="1:1" s="50" customFormat="1" ht="15" customHeight="1" x14ac:dyDescent="0.25">
      <c r="A21" s="8"/>
    </row>
    <row r="22" spans="1:1" s="50" customFormat="1" ht="15" customHeight="1" x14ac:dyDescent="0.25">
      <c r="A22" s="8"/>
    </row>
    <row r="23" spans="1:1" s="50" customFormat="1" ht="15" customHeight="1" x14ac:dyDescent="0.25">
      <c r="A23" s="8"/>
    </row>
    <row r="24" spans="1:1" s="50" customFormat="1" ht="15" customHeight="1" x14ac:dyDescent="0.25">
      <c r="A24" s="8"/>
    </row>
    <row r="27" spans="1:1" ht="15" customHeight="1" x14ac:dyDescent="0.25">
      <c r="A27" s="8" t="s">
        <v>16</v>
      </c>
    </row>
    <row r="28" spans="1:1" ht="15" customHeight="1" x14ac:dyDescent="0.25">
      <c r="A28" s="8" t="s">
        <v>17</v>
      </c>
    </row>
    <row r="29" spans="1:1" ht="15" customHeight="1" x14ac:dyDescent="0.25">
      <c r="A29" s="8" t="s">
        <v>18</v>
      </c>
    </row>
    <row r="30" spans="1:1" ht="15" customHeight="1" x14ac:dyDescent="0.25">
      <c r="A30" s="8" t="s">
        <v>19</v>
      </c>
    </row>
    <row r="31" spans="1:1" ht="15" customHeight="1" x14ac:dyDescent="0.25">
      <c r="A31" s="8" t="s">
        <v>20</v>
      </c>
    </row>
    <row r="32" spans="1:1" ht="15" customHeight="1" x14ac:dyDescent="0.25">
      <c r="A32" s="8" t="s">
        <v>21</v>
      </c>
    </row>
    <row r="33" spans="1:7" ht="15" customHeight="1" x14ac:dyDescent="0.25">
      <c r="A33" s="8" t="s">
        <v>22</v>
      </c>
    </row>
    <row r="34" spans="1:7" ht="15" customHeight="1" x14ac:dyDescent="0.25">
      <c r="A34" s="8" t="s">
        <v>23</v>
      </c>
    </row>
    <row r="35" spans="1:7" ht="15" customHeight="1" x14ac:dyDescent="0.25">
      <c r="A35" s="8" t="s">
        <v>360</v>
      </c>
    </row>
    <row r="36" spans="1:7" ht="15" customHeight="1" x14ac:dyDescent="0.25">
      <c r="A36" s="8" t="s">
        <v>24</v>
      </c>
      <c r="F36" s="48"/>
      <c r="G36" s="48"/>
    </row>
    <row r="37" spans="1:7" ht="15" customHeight="1" x14ac:dyDescent="0.25">
      <c r="A37" s="8" t="s">
        <v>25</v>
      </c>
      <c r="C37" s="20" t="s">
        <v>47</v>
      </c>
      <c r="D37" s="20" t="s">
        <v>59</v>
      </c>
      <c r="F37" s="48"/>
      <c r="G37" s="48"/>
    </row>
    <row r="38" spans="1:7" ht="15" customHeight="1" x14ac:dyDescent="0.25">
      <c r="A38" s="8" t="s">
        <v>26</v>
      </c>
      <c r="C38" s="21" t="s">
        <v>48</v>
      </c>
      <c r="D38" s="21">
        <v>50</v>
      </c>
      <c r="E38" s="50"/>
      <c r="F38" s="48"/>
      <c r="G38" s="48"/>
    </row>
    <row r="39" spans="1:7" ht="15" customHeight="1" x14ac:dyDescent="0.25">
      <c r="A39" s="8" t="s">
        <v>27</v>
      </c>
      <c r="C39" s="21" t="s">
        <v>49</v>
      </c>
      <c r="D39" s="21">
        <v>20</v>
      </c>
      <c r="E39" s="50"/>
      <c r="F39" s="48"/>
      <c r="G39" s="48"/>
    </row>
    <row r="40" spans="1:7" ht="15" customHeight="1" x14ac:dyDescent="0.25">
      <c r="A40" s="8" t="s">
        <v>28</v>
      </c>
      <c r="C40" s="21" t="s">
        <v>50</v>
      </c>
      <c r="D40" s="21">
        <v>60</v>
      </c>
      <c r="E40" s="50"/>
      <c r="F40" s="48"/>
      <c r="G40" s="48"/>
    </row>
    <row r="41" spans="1:7" ht="15" customHeight="1" x14ac:dyDescent="0.25">
      <c r="A41" s="8" t="s">
        <v>29</v>
      </c>
      <c r="C41" s="21" t="s">
        <v>51</v>
      </c>
      <c r="D41" s="21">
        <v>40</v>
      </c>
      <c r="E41" s="50"/>
      <c r="F41" s="48"/>
      <c r="G41" s="48"/>
    </row>
    <row r="42" spans="1:7" ht="15" customHeight="1" x14ac:dyDescent="0.25">
      <c r="A42" s="8" t="s">
        <v>30</v>
      </c>
      <c r="C42" s="50"/>
      <c r="D42" s="22">
        <f>SUM(D38:D41)</f>
        <v>170</v>
      </c>
      <c r="E42" s="50"/>
      <c r="F42" s="50"/>
      <c r="G42" s="50"/>
    </row>
    <row r="43" spans="1:7" ht="15" customHeight="1" x14ac:dyDescent="0.25">
      <c r="A43" s="8" t="s">
        <v>31</v>
      </c>
    </row>
    <row r="47" spans="1:7" ht="15" customHeight="1" x14ac:dyDescent="0.25">
      <c r="C47" s="20" t="s">
        <v>52</v>
      </c>
      <c r="D47" s="20" t="s">
        <v>59</v>
      </c>
      <c r="E47" s="50"/>
      <c r="F47" s="20" t="s">
        <v>52</v>
      </c>
      <c r="G47" s="20" t="s">
        <v>59</v>
      </c>
    </row>
    <row r="48" spans="1:7" ht="15" customHeight="1" x14ac:dyDescent="0.25">
      <c r="C48" s="21" t="s">
        <v>58</v>
      </c>
      <c r="D48" s="21">
        <v>20</v>
      </c>
      <c r="E48" s="50"/>
      <c r="F48" s="21" t="s">
        <v>67</v>
      </c>
      <c r="G48" s="21">
        <v>20</v>
      </c>
    </row>
    <row r="49" spans="3:7" ht="15" customHeight="1" x14ac:dyDescent="0.25">
      <c r="C49" s="21"/>
      <c r="D49" s="21"/>
      <c r="E49" s="50"/>
      <c r="F49" s="21" t="s">
        <v>68</v>
      </c>
      <c r="G49" s="21">
        <v>10</v>
      </c>
    </row>
    <row r="50" spans="3:7" ht="15" customHeight="1" x14ac:dyDescent="0.25">
      <c r="C50" s="21"/>
      <c r="D50" s="21"/>
      <c r="E50" s="50"/>
      <c r="F50" s="21" t="s">
        <v>69</v>
      </c>
      <c r="G50" s="21">
        <v>10</v>
      </c>
    </row>
    <row r="51" spans="3:7" ht="15" customHeight="1" x14ac:dyDescent="0.25">
      <c r="C51" s="21"/>
      <c r="D51" s="21"/>
      <c r="E51" s="50"/>
      <c r="F51" s="21" t="s">
        <v>70</v>
      </c>
      <c r="G51" s="21">
        <v>40</v>
      </c>
    </row>
    <row r="53" spans="3:7" ht="15" customHeight="1" x14ac:dyDescent="0.25">
      <c r="E53" s="20" t="s">
        <v>61</v>
      </c>
    </row>
    <row r="54" spans="3:7" ht="15" customHeight="1" x14ac:dyDescent="0.25">
      <c r="E54" s="22">
        <f>SUM(D48,G48:G51,100)</f>
        <v>200</v>
      </c>
    </row>
    <row r="66" spans="1:7" ht="15" customHeight="1" x14ac:dyDescent="0.25">
      <c r="A66" s="8" t="s">
        <v>32</v>
      </c>
    </row>
    <row r="67" spans="1:7" ht="15" customHeight="1" x14ac:dyDescent="0.25">
      <c r="A67" s="8" t="s">
        <v>33</v>
      </c>
    </row>
    <row r="68" spans="1:7" ht="15" customHeight="1" x14ac:dyDescent="0.25">
      <c r="A68" s="8" t="s">
        <v>34</v>
      </c>
    </row>
    <row r="69" spans="1:7" ht="15" customHeight="1" x14ac:dyDescent="0.25">
      <c r="A69" s="8" t="s">
        <v>35</v>
      </c>
    </row>
    <row r="70" spans="1:7" ht="15" customHeight="1" x14ac:dyDescent="0.25">
      <c r="A70" s="8" t="s">
        <v>36</v>
      </c>
    </row>
    <row r="71" spans="1:7" ht="15" customHeight="1" x14ac:dyDescent="0.25">
      <c r="A71" s="1" t="s">
        <v>37</v>
      </c>
    </row>
    <row r="72" spans="1:7" ht="15" customHeight="1" x14ac:dyDescent="0.25">
      <c r="A72" s="8" t="s">
        <v>38</v>
      </c>
      <c r="C72" s="20" t="s">
        <v>52</v>
      </c>
      <c r="D72" s="20" t="s">
        <v>59</v>
      </c>
      <c r="F72" s="20" t="s">
        <v>52</v>
      </c>
      <c r="G72" s="20" t="s">
        <v>59</v>
      </c>
    </row>
    <row r="73" spans="1:7" ht="15" customHeight="1" x14ac:dyDescent="0.25">
      <c r="A73" s="11" t="s">
        <v>39</v>
      </c>
      <c r="C73" s="21" t="s">
        <v>53</v>
      </c>
      <c r="D73" s="21">
        <v>50</v>
      </c>
      <c r="F73" s="21" t="s">
        <v>53</v>
      </c>
      <c r="G73" s="21">
        <v>50</v>
      </c>
    </row>
    <row r="74" spans="1:7" ht="15" customHeight="1" x14ac:dyDescent="0.25">
      <c r="A74" s="8" t="s">
        <v>40</v>
      </c>
      <c r="C74" s="21" t="s">
        <v>54</v>
      </c>
      <c r="D74" s="21">
        <v>100</v>
      </c>
      <c r="F74" s="21" t="s">
        <v>54</v>
      </c>
      <c r="G74" s="21">
        <v>100</v>
      </c>
    </row>
    <row r="75" spans="1:7" ht="15" customHeight="1" x14ac:dyDescent="0.25">
      <c r="C75" s="21" t="s">
        <v>55</v>
      </c>
      <c r="D75" s="21">
        <v>40</v>
      </c>
      <c r="F75" s="21" t="s">
        <v>55</v>
      </c>
      <c r="G75" s="21">
        <v>40</v>
      </c>
    </row>
    <row r="76" spans="1:7" ht="15" customHeight="1" x14ac:dyDescent="0.25">
      <c r="C76" s="21" t="s">
        <v>56</v>
      </c>
      <c r="D76" s="21">
        <v>50</v>
      </c>
      <c r="F76" s="21" t="s">
        <v>56</v>
      </c>
      <c r="G76" s="21">
        <v>50</v>
      </c>
    </row>
    <row r="77" spans="1:7" ht="15" customHeight="1" thickBot="1" x14ac:dyDescent="0.3">
      <c r="C77" s="21" t="s">
        <v>57</v>
      </c>
      <c r="D77" s="21">
        <v>20</v>
      </c>
      <c r="F77" s="21" t="s">
        <v>57</v>
      </c>
      <c r="G77" s="21">
        <v>20</v>
      </c>
    </row>
    <row r="78" spans="1:7" ht="15" customHeight="1" thickTop="1" thickBot="1" x14ac:dyDescent="0.3">
      <c r="D78" s="22">
        <f>SUMIF(D73:D77,"&gt;50")</f>
        <v>100</v>
      </c>
      <c r="F78" s="54"/>
      <c r="G78" s="53">
        <f>SUMIF(G73:G77,"&gt;=50")</f>
        <v>200</v>
      </c>
    </row>
    <row r="79" spans="1:7" ht="15" customHeight="1" thickTop="1" x14ac:dyDescent="0.25"/>
    <row r="82" spans="1:7" ht="15" customHeight="1" x14ac:dyDescent="0.25">
      <c r="C82" s="48"/>
      <c r="D82" s="48"/>
      <c r="E82" s="48"/>
      <c r="F82" s="48"/>
      <c r="G82" s="48"/>
    </row>
    <row r="83" spans="1:7" ht="15" customHeight="1" x14ac:dyDescent="0.25">
      <c r="C83" s="48"/>
      <c r="D83" s="48"/>
      <c r="E83" s="48"/>
      <c r="F83" s="48"/>
      <c r="G83" s="48"/>
    </row>
    <row r="84" spans="1:7" ht="15" customHeight="1" x14ac:dyDescent="0.25">
      <c r="C84" s="48"/>
      <c r="D84" s="48"/>
      <c r="E84" s="48"/>
      <c r="F84" s="48"/>
      <c r="G84" s="48"/>
    </row>
    <row r="85" spans="1:7" ht="15" customHeight="1" x14ac:dyDescent="0.25">
      <c r="C85" s="48"/>
      <c r="D85" s="48"/>
      <c r="E85" s="48"/>
      <c r="F85" s="48"/>
      <c r="G85" s="48"/>
    </row>
    <row r="86" spans="1:7" ht="15" customHeight="1" x14ac:dyDescent="0.25">
      <c r="A86" s="8" t="s">
        <v>41</v>
      </c>
      <c r="C86" s="48"/>
      <c r="D86" s="48"/>
      <c r="E86" s="48"/>
      <c r="F86" s="48"/>
      <c r="G86" s="48"/>
    </row>
    <row r="87" spans="1:7" ht="15" customHeight="1" x14ac:dyDescent="0.25">
      <c r="A87" s="8" t="s">
        <v>42</v>
      </c>
      <c r="C87" s="48"/>
      <c r="D87" s="48"/>
      <c r="E87" s="48"/>
      <c r="F87" s="48"/>
      <c r="G87" s="48"/>
    </row>
    <row r="88" spans="1:7" ht="15" customHeight="1" x14ac:dyDescent="0.25">
      <c r="A88" s="8" t="s">
        <v>43</v>
      </c>
      <c r="C88" s="48"/>
      <c r="D88" s="48"/>
      <c r="E88" s="48"/>
      <c r="F88" s="48"/>
      <c r="G88" s="48"/>
    </row>
    <row r="89" spans="1:7" ht="15" customHeight="1" x14ac:dyDescent="0.25">
      <c r="A89" s="8" t="s">
        <v>44</v>
      </c>
      <c r="C89" s="48"/>
      <c r="D89" s="48"/>
      <c r="E89" s="48"/>
      <c r="F89" s="48"/>
      <c r="G89" s="48"/>
    </row>
    <row r="90" spans="1:7" ht="15" customHeight="1" x14ac:dyDescent="0.25">
      <c r="A90" s="8" t="s">
        <v>45</v>
      </c>
      <c r="C90" s="48"/>
      <c r="D90" s="48"/>
      <c r="E90" s="48"/>
      <c r="F90" s="48"/>
      <c r="G90" s="48"/>
    </row>
    <row r="91" spans="1:7" ht="15" customHeight="1" x14ac:dyDescent="0.25">
      <c r="A91" s="8" t="s">
        <v>46</v>
      </c>
    </row>
  </sheetData>
  <phoneticPr fontId="22" type="noConversion"/>
  <hyperlinks>
    <hyperlink ref="A87" r:id="rId1" tooltip="選取以從網路深入了解 SUM 函數" xr:uid="{00000000-0004-0000-0100-000000000000}"/>
    <hyperlink ref="A88" r:id="rId2" tooltip="選取以從 Web 全面了解 SUMIF 函數" xr:uid="{00000000-0004-0000-0100-000001000000}"/>
    <hyperlink ref="A89" r:id="rId3" tooltip="選取以從 Web 了解如何用 Excel 當計算機" xr:uid="{00000000-0004-0000-0100-000002000000}"/>
    <hyperlink ref="A90" r:id="rId4" tooltip="選取以從 Web 了解免費的 Excel 線上訓練概觀" xr:uid="{00000000-0004-0000-0100-000003000000}"/>
    <hyperlink ref="A71" location="'10. 樞紐分析表'!A1" tooltip="選取以移至 [樞紐分析表] 工作表" display="注意：如果您撰寫了大量 SUMIF 公式，建議您使用樞紐分析表。如需詳細資訊，請參閱 [樞紐分析表] 工作表。" xr:uid="{00000000-0004-0000-0100-000004000000}"/>
  </hyperlinks>
  <pageMargins left="0.7" right="0.7" top="0.75" bottom="0.75" header="0.3" footer="0.3"/>
  <pageSetup paperSize="9"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67"/>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3" width="8.88671875" style="49"/>
    <col min="4" max="4" width="11.6640625" style="49" bestFit="1" customWidth="1"/>
    <col min="5" max="16384" width="8.88671875" style="49"/>
  </cols>
  <sheetData>
    <row r="1" spans="1:9" ht="60" customHeight="1" x14ac:dyDescent="0.25">
      <c r="A1" s="8" t="s">
        <v>71</v>
      </c>
      <c r="C1" s="48"/>
      <c r="D1" s="48"/>
      <c r="E1" s="48"/>
      <c r="F1" s="48"/>
      <c r="G1" s="48"/>
      <c r="H1" s="48"/>
      <c r="I1" s="48"/>
    </row>
    <row r="2" spans="1:9" ht="15" customHeight="1" x14ac:dyDescent="0.25">
      <c r="A2" s="8" t="s">
        <v>72</v>
      </c>
      <c r="C2" s="48"/>
      <c r="D2" s="48"/>
      <c r="E2" s="48"/>
      <c r="F2" s="48"/>
      <c r="G2" s="48"/>
      <c r="H2" s="48"/>
      <c r="I2" s="48"/>
    </row>
    <row r="3" spans="1:9" ht="15" customHeight="1" x14ac:dyDescent="0.25">
      <c r="A3" s="8" t="s">
        <v>73</v>
      </c>
      <c r="C3" s="20" t="s">
        <v>87</v>
      </c>
      <c r="D3" s="20" t="s">
        <v>92</v>
      </c>
      <c r="E3" s="20" t="s">
        <v>95</v>
      </c>
      <c r="F3" s="20" t="s">
        <v>92</v>
      </c>
      <c r="G3" s="20" t="s">
        <v>95</v>
      </c>
      <c r="H3" s="48"/>
      <c r="I3" s="48"/>
    </row>
    <row r="4" spans="1:9" ht="15" customHeight="1" x14ac:dyDescent="0.25">
      <c r="A4" s="8" t="s">
        <v>74</v>
      </c>
      <c r="C4" s="21">
        <v>50</v>
      </c>
      <c r="D4" s="21">
        <v>50</v>
      </c>
      <c r="E4" s="22">
        <f>SUM(C4:D4)</f>
        <v>100</v>
      </c>
      <c r="F4" s="21">
        <v>75</v>
      </c>
      <c r="G4" s="21">
        <f>SUM(E4:F4)</f>
        <v>175</v>
      </c>
      <c r="H4" s="48"/>
      <c r="I4" s="48"/>
    </row>
    <row r="5" spans="1:9" s="50" customFormat="1" ht="15" customHeight="1" x14ac:dyDescent="0.25">
      <c r="A5" s="8" t="s">
        <v>75</v>
      </c>
      <c r="B5" s="4"/>
      <c r="C5" s="21">
        <v>50</v>
      </c>
      <c r="D5" s="21">
        <v>60</v>
      </c>
      <c r="E5" s="21"/>
      <c r="F5" s="21">
        <v>75</v>
      </c>
      <c r="G5" s="21"/>
      <c r="H5" s="48"/>
      <c r="I5" s="48"/>
    </row>
    <row r="6" spans="1:9" s="50" customFormat="1" ht="15" customHeight="1" x14ac:dyDescent="0.25">
      <c r="A6" s="8" t="s">
        <v>76</v>
      </c>
      <c r="B6" s="4"/>
      <c r="C6" s="21">
        <v>50</v>
      </c>
      <c r="D6" s="21">
        <v>70</v>
      </c>
      <c r="E6" s="21"/>
      <c r="F6" s="21">
        <v>75</v>
      </c>
      <c r="G6" s="21"/>
      <c r="H6" s="48"/>
      <c r="I6" s="48"/>
    </row>
    <row r="7" spans="1:9" s="50" customFormat="1" ht="15" customHeight="1" x14ac:dyDescent="0.25">
      <c r="A7" s="8" t="s">
        <v>77</v>
      </c>
      <c r="B7" s="4"/>
      <c r="C7" s="21">
        <v>50</v>
      </c>
      <c r="D7" s="21">
        <v>80</v>
      </c>
      <c r="E7" s="21"/>
      <c r="F7" s="21">
        <v>75</v>
      </c>
      <c r="G7" s="21"/>
      <c r="H7" s="48"/>
      <c r="I7" s="48"/>
    </row>
    <row r="8" spans="1:9" s="50" customFormat="1" ht="15" customHeight="1" x14ac:dyDescent="0.25">
      <c r="A8" s="8" t="s">
        <v>78</v>
      </c>
      <c r="B8" s="4"/>
      <c r="C8" s="48"/>
      <c r="D8" s="48"/>
      <c r="E8" s="48"/>
      <c r="F8" s="48"/>
      <c r="G8" s="48"/>
      <c r="H8" s="48"/>
      <c r="I8" s="48"/>
    </row>
    <row r="9" spans="1:9" s="50" customFormat="1" ht="15" customHeight="1" x14ac:dyDescent="0.25">
      <c r="A9" s="8" t="s">
        <v>79</v>
      </c>
      <c r="B9" s="4"/>
      <c r="C9" s="48"/>
      <c r="D9" s="48"/>
      <c r="E9" s="48"/>
      <c r="F9" s="48"/>
      <c r="G9" s="48"/>
      <c r="H9" s="48"/>
      <c r="I9" s="48"/>
    </row>
    <row r="10" spans="1:9" s="50" customFormat="1" ht="15" customHeight="1" x14ac:dyDescent="0.25">
      <c r="A10" s="8"/>
      <c r="B10" s="4"/>
      <c r="C10" s="20" t="s">
        <v>87</v>
      </c>
      <c r="D10" s="20" t="s">
        <v>92</v>
      </c>
      <c r="E10" s="20" t="s">
        <v>95</v>
      </c>
      <c r="F10" s="20" t="s">
        <v>92</v>
      </c>
      <c r="G10" s="20" t="s">
        <v>95</v>
      </c>
      <c r="H10" s="48"/>
      <c r="I10" s="48"/>
    </row>
    <row r="11" spans="1:9" s="50" customFormat="1" ht="15" customHeight="1" x14ac:dyDescent="0.25">
      <c r="A11" s="8"/>
      <c r="B11" s="4"/>
      <c r="C11" s="21">
        <v>50</v>
      </c>
      <c r="D11" s="21">
        <v>50</v>
      </c>
      <c r="E11" s="21">
        <f>SUM(C11:D11)</f>
        <v>100</v>
      </c>
      <c r="F11" s="21">
        <v>75</v>
      </c>
      <c r="G11" s="21">
        <f>SUM(E11:F11)</f>
        <v>175</v>
      </c>
      <c r="H11" s="48"/>
      <c r="I11" s="48"/>
    </row>
    <row r="12" spans="1:9" s="50" customFormat="1" ht="15" customHeight="1" x14ac:dyDescent="0.25">
      <c r="A12" s="8"/>
      <c r="B12" s="4"/>
      <c r="C12" s="21">
        <v>50</v>
      </c>
      <c r="D12" s="21">
        <v>60</v>
      </c>
      <c r="E12" s="21">
        <f t="shared" ref="E12:E14" si="0">SUM(C12:D12)</f>
        <v>110</v>
      </c>
      <c r="F12" s="21">
        <v>75</v>
      </c>
      <c r="G12" s="21">
        <f t="shared" ref="G12:G14" si="1">SUM(E12:F12)</f>
        <v>185</v>
      </c>
      <c r="H12" s="48"/>
      <c r="I12" s="48"/>
    </row>
    <row r="13" spans="1:9" s="50" customFormat="1" ht="15" customHeight="1" x14ac:dyDescent="0.25">
      <c r="A13" s="8"/>
      <c r="B13" s="4"/>
      <c r="C13" s="21">
        <v>50</v>
      </c>
      <c r="D13" s="21">
        <v>70</v>
      </c>
      <c r="E13" s="21">
        <f t="shared" si="0"/>
        <v>120</v>
      </c>
      <c r="F13" s="21">
        <v>75</v>
      </c>
      <c r="G13" s="21">
        <f t="shared" si="1"/>
        <v>195</v>
      </c>
      <c r="H13" s="48"/>
      <c r="I13" s="48"/>
    </row>
    <row r="14" spans="1:9" s="50" customFormat="1" ht="15" customHeight="1" x14ac:dyDescent="0.25">
      <c r="A14" s="8"/>
      <c r="B14" s="4"/>
      <c r="C14" s="51">
        <v>50</v>
      </c>
      <c r="D14" s="51">
        <v>80</v>
      </c>
      <c r="E14" s="51">
        <f t="shared" si="0"/>
        <v>130</v>
      </c>
      <c r="F14" s="51">
        <v>75</v>
      </c>
      <c r="G14" s="51">
        <f t="shared" si="1"/>
        <v>205</v>
      </c>
      <c r="H14" s="48"/>
      <c r="I14" s="48"/>
    </row>
    <row r="15" spans="1:9" s="50" customFormat="1" ht="15" customHeight="1" x14ac:dyDescent="0.25">
      <c r="A15" s="8"/>
      <c r="B15" s="4"/>
      <c r="C15" s="22">
        <f>SUM(C11:C14)</f>
        <v>200</v>
      </c>
      <c r="D15" s="21"/>
      <c r="E15" s="21"/>
      <c r="F15" s="21"/>
      <c r="G15" s="21"/>
      <c r="H15" s="48"/>
      <c r="I15" s="48"/>
    </row>
    <row r="16" spans="1:9" s="50" customFormat="1" ht="15" customHeight="1" x14ac:dyDescent="0.25">
      <c r="A16" s="8"/>
      <c r="B16" s="4"/>
      <c r="H16" s="48"/>
      <c r="I16" s="48"/>
    </row>
    <row r="17" spans="1:9" s="50" customFormat="1" ht="15" customHeight="1" x14ac:dyDescent="0.25">
      <c r="A17" s="8"/>
      <c r="B17" s="4"/>
      <c r="H17" s="48"/>
      <c r="I17" s="48"/>
    </row>
    <row r="18" spans="1:9" s="50" customFormat="1" ht="15" customHeight="1" x14ac:dyDescent="0.25">
      <c r="A18" s="8"/>
      <c r="B18" s="4"/>
      <c r="C18" s="48"/>
      <c r="D18" s="48"/>
      <c r="E18" s="48"/>
      <c r="F18" s="48"/>
      <c r="G18" s="48"/>
      <c r="H18" s="48"/>
      <c r="I18" s="48"/>
    </row>
    <row r="19" spans="1:9" s="50" customFormat="1" ht="15" customHeight="1" x14ac:dyDescent="0.25">
      <c r="A19" s="8"/>
      <c r="B19" s="4"/>
      <c r="C19" s="48"/>
      <c r="D19" s="48"/>
      <c r="E19" s="48"/>
      <c r="F19" s="48"/>
      <c r="G19" s="48"/>
      <c r="H19" s="48"/>
      <c r="I19" s="48"/>
    </row>
    <row r="20" spans="1:9" s="50" customFormat="1" ht="15" customHeight="1" x14ac:dyDescent="0.25">
      <c r="A20" s="8"/>
      <c r="B20" s="4"/>
      <c r="C20" s="48"/>
      <c r="D20" s="48"/>
      <c r="E20" s="48"/>
      <c r="F20" s="48"/>
      <c r="G20" s="48"/>
      <c r="H20" s="48"/>
      <c r="I20" s="48"/>
    </row>
    <row r="21" spans="1:9" s="50" customFormat="1" ht="15" customHeight="1" x14ac:dyDescent="0.25">
      <c r="A21" s="8"/>
      <c r="B21" s="4"/>
      <c r="C21" s="48"/>
      <c r="D21" s="48"/>
      <c r="E21" s="48"/>
      <c r="F21" s="48"/>
      <c r="G21" s="48"/>
      <c r="H21" s="48"/>
      <c r="I21" s="48"/>
    </row>
    <row r="22" spans="1:9" s="50" customFormat="1" ht="15" customHeight="1" x14ac:dyDescent="0.25">
      <c r="A22" s="8"/>
      <c r="B22" s="4"/>
    </row>
    <row r="23" spans="1:9" s="50" customFormat="1" ht="15" customHeight="1" x14ac:dyDescent="0.25">
      <c r="A23" s="8"/>
      <c r="B23" s="4"/>
    </row>
    <row r="24" spans="1:9" s="50" customFormat="1" ht="15" customHeight="1" x14ac:dyDescent="0.25">
      <c r="A24" s="8"/>
      <c r="B24" s="4"/>
    </row>
    <row r="27" spans="1:9" ht="15" customHeight="1" x14ac:dyDescent="0.25">
      <c r="A27" s="8" t="s">
        <v>80</v>
      </c>
    </row>
    <row r="28" spans="1:9" ht="15" customHeight="1" x14ac:dyDescent="0.25">
      <c r="A28" s="8" t="s">
        <v>81</v>
      </c>
    </row>
    <row r="29" spans="1:9" ht="15" customHeight="1" x14ac:dyDescent="0.25">
      <c r="A29" s="8" t="s">
        <v>82</v>
      </c>
    </row>
    <row r="30" spans="1:9" ht="15" customHeight="1" x14ac:dyDescent="0.25">
      <c r="A30" s="8" t="s">
        <v>83</v>
      </c>
    </row>
    <row r="31" spans="1:9" ht="15" customHeight="1" x14ac:dyDescent="0.25">
      <c r="A31" s="8" t="s">
        <v>84</v>
      </c>
    </row>
    <row r="33" spans="3:9" ht="15" customHeight="1" x14ac:dyDescent="0.25">
      <c r="C33" s="20" t="s">
        <v>88</v>
      </c>
      <c r="D33" s="20" t="s">
        <v>93</v>
      </c>
      <c r="E33" s="20" t="s">
        <v>96</v>
      </c>
      <c r="F33" s="20" t="s">
        <v>98</v>
      </c>
      <c r="G33" s="48"/>
      <c r="H33" s="48"/>
      <c r="I33" s="48"/>
    </row>
    <row r="34" spans="3:9" ht="15" customHeight="1" x14ac:dyDescent="0.25">
      <c r="C34" s="52" t="s">
        <v>89</v>
      </c>
      <c r="D34" s="52" t="s">
        <v>47</v>
      </c>
      <c r="E34" s="21" t="s">
        <v>48</v>
      </c>
      <c r="F34" s="21">
        <v>100</v>
      </c>
      <c r="G34" s="48"/>
      <c r="H34" s="48"/>
      <c r="I34" s="48"/>
    </row>
    <row r="35" spans="3:9" ht="15" customHeight="1" x14ac:dyDescent="0.25">
      <c r="C35" s="21"/>
      <c r="D35" s="21"/>
      <c r="E35" s="21" t="s">
        <v>49</v>
      </c>
      <c r="F35" s="21">
        <v>200</v>
      </c>
      <c r="G35" s="48"/>
      <c r="H35" s="48"/>
      <c r="I35" s="48"/>
    </row>
    <row r="36" spans="3:9" ht="15" customHeight="1" x14ac:dyDescent="0.25">
      <c r="C36" s="21"/>
      <c r="D36" s="21"/>
      <c r="E36" s="21" t="s">
        <v>50</v>
      </c>
      <c r="F36" s="21">
        <v>50</v>
      </c>
      <c r="G36" s="48"/>
      <c r="H36" s="48"/>
      <c r="I36" s="48"/>
    </row>
    <row r="37" spans="3:9" ht="15" customHeight="1" x14ac:dyDescent="0.25">
      <c r="C37" s="21"/>
      <c r="D37" s="21"/>
      <c r="E37" s="21" t="s">
        <v>97</v>
      </c>
      <c r="F37" s="21">
        <v>100</v>
      </c>
      <c r="G37" s="48"/>
      <c r="H37" s="48"/>
      <c r="I37" s="48"/>
    </row>
    <row r="38" spans="3:9" ht="15" customHeight="1" x14ac:dyDescent="0.25">
      <c r="C38" s="48"/>
      <c r="D38" s="48"/>
      <c r="E38" s="48"/>
      <c r="F38" s="48"/>
      <c r="G38" s="48"/>
      <c r="H38" s="48"/>
      <c r="I38" s="48"/>
    </row>
    <row r="39" spans="3:9" ht="15" customHeight="1" x14ac:dyDescent="0.25">
      <c r="C39" s="48"/>
      <c r="D39" s="48"/>
      <c r="E39" s="48"/>
      <c r="F39" s="48"/>
      <c r="G39" s="48"/>
      <c r="H39" s="48"/>
      <c r="I39" s="48"/>
    </row>
    <row r="40" spans="3:9" ht="15" customHeight="1" x14ac:dyDescent="0.25">
      <c r="C40" s="48"/>
      <c r="D40" s="48"/>
      <c r="E40" s="48"/>
      <c r="F40" s="48"/>
      <c r="G40" s="48"/>
      <c r="H40" s="48"/>
      <c r="I40" s="48"/>
    </row>
    <row r="41" spans="3:9" ht="15" customHeight="1" x14ac:dyDescent="0.25">
      <c r="C41" s="48"/>
      <c r="D41" s="48"/>
      <c r="E41" s="48"/>
      <c r="F41" s="48"/>
      <c r="G41" s="48"/>
      <c r="H41" s="48"/>
      <c r="I41" s="48"/>
    </row>
    <row r="42" spans="3:9" ht="15" customHeight="1" x14ac:dyDescent="0.25">
      <c r="C42" s="48"/>
      <c r="D42" s="48"/>
      <c r="E42" s="48"/>
      <c r="F42" s="48"/>
      <c r="G42" s="48"/>
      <c r="H42" s="48"/>
      <c r="I42" s="48"/>
    </row>
    <row r="43" spans="3:9" ht="15" customHeight="1" x14ac:dyDescent="0.25">
      <c r="C43" s="48"/>
      <c r="D43" s="48"/>
      <c r="E43" s="48"/>
      <c r="F43" s="48"/>
      <c r="G43" s="48"/>
      <c r="H43" s="48"/>
      <c r="I43" s="48"/>
    </row>
    <row r="44" spans="3:9" ht="15" customHeight="1" x14ac:dyDescent="0.25">
      <c r="C44" s="48"/>
      <c r="D44" s="48"/>
      <c r="E44" s="48"/>
      <c r="F44" s="48"/>
      <c r="G44" s="48"/>
      <c r="H44" s="48"/>
      <c r="I44" s="48"/>
    </row>
    <row r="45" spans="3:9" ht="15" customHeight="1" x14ac:dyDescent="0.25">
      <c r="C45" s="48"/>
      <c r="D45" s="48"/>
      <c r="E45" s="48"/>
      <c r="F45" s="48"/>
      <c r="G45" s="48"/>
      <c r="H45" s="48"/>
      <c r="I45" s="48"/>
    </row>
    <row r="46" spans="3:9" ht="15" customHeight="1" thickBot="1" x14ac:dyDescent="0.3">
      <c r="C46" s="20"/>
      <c r="D46" s="20" t="s">
        <v>94</v>
      </c>
      <c r="E46" s="20"/>
      <c r="F46" s="20"/>
      <c r="G46" s="48"/>
      <c r="H46" s="48"/>
      <c r="I46" s="48"/>
    </row>
    <row r="47" spans="3:9" ht="15" customHeight="1" thickTop="1" thickBot="1" x14ac:dyDescent="0.3">
      <c r="C47" s="52" t="s">
        <v>90</v>
      </c>
      <c r="D47" s="21">
        <v>35</v>
      </c>
      <c r="E47" s="21">
        <v>44</v>
      </c>
      <c r="F47" s="21">
        <v>79</v>
      </c>
      <c r="G47" s="48"/>
      <c r="H47" s="53" t="s">
        <v>99</v>
      </c>
      <c r="I47" s="48"/>
    </row>
    <row r="48" spans="3:9" ht="15" customHeight="1" thickTop="1" x14ac:dyDescent="0.25">
      <c r="C48" s="21"/>
      <c r="D48" s="21">
        <v>74</v>
      </c>
      <c r="E48" s="21">
        <v>64</v>
      </c>
      <c r="F48" s="21">
        <v>56</v>
      </c>
      <c r="G48" s="48"/>
      <c r="H48" s="21"/>
      <c r="I48" s="48"/>
    </row>
    <row r="49" spans="1:9" ht="15" customHeight="1" x14ac:dyDescent="0.25">
      <c r="C49" s="21"/>
      <c r="D49" s="21">
        <v>82</v>
      </c>
      <c r="E49" s="21">
        <v>50</v>
      </c>
      <c r="F49" s="21">
        <v>83</v>
      </c>
      <c r="G49" s="48"/>
      <c r="H49" s="21"/>
      <c r="I49" s="48"/>
    </row>
    <row r="50" spans="1:9" ht="15" customHeight="1" x14ac:dyDescent="0.25">
      <c r="C50" s="21"/>
      <c r="D50" s="21">
        <v>90</v>
      </c>
      <c r="E50" s="21">
        <v>22</v>
      </c>
      <c r="F50" s="21">
        <v>89</v>
      </c>
      <c r="G50" s="48"/>
      <c r="H50" s="21"/>
      <c r="I50" s="48"/>
    </row>
    <row r="51" spans="1:9" ht="15" customHeight="1" x14ac:dyDescent="0.25">
      <c r="C51" s="48"/>
      <c r="D51" s="48"/>
      <c r="E51" s="48"/>
      <c r="F51" s="48"/>
      <c r="G51" s="48"/>
      <c r="H51" s="48"/>
      <c r="I51" s="48"/>
    </row>
    <row r="52" spans="1:9" ht="15" customHeight="1" x14ac:dyDescent="0.25">
      <c r="C52" s="48"/>
      <c r="D52" s="48"/>
      <c r="E52" s="48"/>
      <c r="F52" s="48"/>
      <c r="G52" s="48"/>
      <c r="H52" s="48"/>
      <c r="I52" s="48"/>
    </row>
    <row r="53" spans="1:9" ht="15" customHeight="1" x14ac:dyDescent="0.25">
      <c r="C53" s="48"/>
      <c r="D53" s="48"/>
      <c r="E53" s="48"/>
      <c r="F53" s="48"/>
      <c r="G53" s="48"/>
      <c r="H53" s="48"/>
      <c r="I53" s="48"/>
    </row>
    <row r="54" spans="1:9" ht="15" customHeight="1" x14ac:dyDescent="0.25">
      <c r="C54" s="48"/>
      <c r="D54" s="48"/>
      <c r="E54" s="48"/>
      <c r="F54" s="48"/>
      <c r="G54" s="48"/>
      <c r="H54" s="48"/>
      <c r="I54" s="48"/>
    </row>
    <row r="55" spans="1:9" ht="15" customHeight="1" x14ac:dyDescent="0.25">
      <c r="C55" s="48"/>
      <c r="D55" s="48"/>
      <c r="E55" s="48"/>
      <c r="F55" s="48"/>
      <c r="G55" s="48"/>
      <c r="H55" s="48"/>
      <c r="I55" s="48"/>
    </row>
    <row r="56" spans="1:9" ht="15" customHeight="1" x14ac:dyDescent="0.25">
      <c r="C56" s="48"/>
      <c r="D56" s="48"/>
      <c r="E56" s="48"/>
      <c r="F56" s="48"/>
      <c r="G56" s="48"/>
      <c r="H56" s="48"/>
      <c r="I56" s="48"/>
    </row>
    <row r="57" spans="1:9" ht="15" customHeight="1" x14ac:dyDescent="0.25">
      <c r="C57" s="48"/>
      <c r="D57" s="48"/>
      <c r="E57" s="48"/>
      <c r="F57" s="48"/>
      <c r="G57" s="48"/>
      <c r="H57" s="48"/>
      <c r="I57" s="48"/>
    </row>
    <row r="60" spans="1:9" ht="15" customHeight="1" x14ac:dyDescent="0.25">
      <c r="C60" s="20" t="s">
        <v>91</v>
      </c>
      <c r="D60" s="20"/>
      <c r="E60" s="20"/>
      <c r="F60" s="20"/>
      <c r="G60" s="20"/>
      <c r="H60" s="20"/>
    </row>
    <row r="61" spans="1:9" ht="15" customHeight="1" x14ac:dyDescent="0.25">
      <c r="C61" s="52">
        <v>15</v>
      </c>
      <c r="D61" s="52">
        <v>30</v>
      </c>
      <c r="E61" s="21"/>
      <c r="F61" s="21"/>
      <c r="G61" s="21"/>
      <c r="H61" s="21"/>
    </row>
    <row r="64" spans="1:9" ht="15" customHeight="1" x14ac:dyDescent="0.25">
      <c r="A64" s="8" t="s">
        <v>41</v>
      </c>
    </row>
    <row r="65" spans="1:1" ht="15" customHeight="1" x14ac:dyDescent="0.25">
      <c r="A65" s="8" t="s">
        <v>85</v>
      </c>
    </row>
    <row r="66" spans="1:1" ht="15" customHeight="1" x14ac:dyDescent="0.25">
      <c r="A66" s="1" t="s">
        <v>358</v>
      </c>
    </row>
    <row r="67" spans="1:1" ht="15" customHeight="1" x14ac:dyDescent="0.25">
      <c r="A67" s="8" t="s">
        <v>86</v>
      </c>
    </row>
  </sheetData>
  <phoneticPr fontId="22" type="noConversion"/>
  <hyperlinks>
    <hyperlink ref="A65" r:id="rId1" tooltip="選取以從 Web 了解如何在工作表儲存格中自動填入資料" xr:uid="{00000000-0004-0000-0200-000000000000}"/>
    <hyperlink ref="A66" r:id="rId2" tooltip="選取以從 Web 了解如何將公式向下填滿相鄰的儲存格" xr:uid="{00000000-0004-0000-0200-000001000000}"/>
  </hyperlinks>
  <pageMargins left="0.7" right="0.7" top="0.75" bottom="0.75" header="0.3" footer="0.3"/>
  <pageSetup paperSize="9" orientation="portrait"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86"/>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3" width="33.88671875" style="13" customWidth="1"/>
    <col min="4" max="4" width="10.33203125" style="13" customWidth="1"/>
    <col min="5" max="5" width="9.88671875" style="13" customWidth="1"/>
    <col min="6" max="7" width="15.6640625" style="41" customWidth="1"/>
    <col min="8" max="8" width="9.88671875" style="13" customWidth="1"/>
    <col min="9" max="16384" width="8.88671875" style="13"/>
  </cols>
  <sheetData>
    <row r="1" spans="1:8" ht="60" customHeight="1" x14ac:dyDescent="0.25">
      <c r="A1" s="8" t="s">
        <v>100</v>
      </c>
      <c r="C1" s="4"/>
      <c r="D1" s="4"/>
      <c r="E1" s="4"/>
      <c r="F1" s="32"/>
      <c r="G1" s="32"/>
      <c r="H1" s="4"/>
    </row>
    <row r="2" spans="1:8" ht="15" customHeight="1" x14ac:dyDescent="0.25">
      <c r="A2" s="8" t="s">
        <v>101</v>
      </c>
      <c r="C2" s="4"/>
      <c r="D2" s="4"/>
      <c r="E2" s="4"/>
      <c r="F2" s="32"/>
      <c r="G2" s="32"/>
      <c r="H2" s="4"/>
    </row>
    <row r="3" spans="1:8" ht="15" customHeight="1" x14ac:dyDescent="0.25">
      <c r="A3" s="8" t="s">
        <v>102</v>
      </c>
      <c r="C3" s="4"/>
      <c r="D3" s="4"/>
      <c r="E3" s="4"/>
      <c r="F3" s="32"/>
      <c r="G3" s="32"/>
      <c r="H3" s="4"/>
    </row>
    <row r="4" spans="1:8" ht="15" customHeight="1" x14ac:dyDescent="0.25">
      <c r="A4" s="8" t="s">
        <v>103</v>
      </c>
      <c r="C4" s="20" t="s">
        <v>135</v>
      </c>
      <c r="D4" s="20" t="s">
        <v>152</v>
      </c>
      <c r="E4" s="20" t="s">
        <v>153</v>
      </c>
      <c r="F4" s="32"/>
      <c r="G4" s="32"/>
      <c r="H4" s="4"/>
    </row>
    <row r="5" spans="1:8" s="16" customFormat="1" ht="15" customHeight="1" x14ac:dyDescent="0.25">
      <c r="A5" s="8" t="s">
        <v>104</v>
      </c>
      <c r="B5" s="4"/>
      <c r="C5" s="33" t="s">
        <v>136</v>
      </c>
      <c r="D5" s="34"/>
      <c r="E5" s="35" t="s">
        <v>154</v>
      </c>
      <c r="F5" s="32"/>
      <c r="G5" s="32"/>
      <c r="H5" s="4"/>
    </row>
    <row r="6" spans="1:8" s="16" customFormat="1" ht="15" customHeight="1" x14ac:dyDescent="0.25">
      <c r="A6" s="8" t="s">
        <v>105</v>
      </c>
      <c r="B6" s="4"/>
      <c r="C6" s="33" t="s">
        <v>137</v>
      </c>
      <c r="D6" s="36"/>
      <c r="E6" s="35"/>
      <c r="F6" s="32"/>
      <c r="G6" s="32"/>
      <c r="H6" s="4"/>
    </row>
    <row r="7" spans="1:8" s="16" customFormat="1" ht="15" customHeight="1" x14ac:dyDescent="0.25">
      <c r="A7" s="8" t="s">
        <v>79</v>
      </c>
      <c r="B7" s="4"/>
      <c r="C7" s="33" t="s">
        <v>138</v>
      </c>
      <c r="D7" s="36"/>
      <c r="E7" s="35"/>
      <c r="F7" s="32"/>
      <c r="G7" s="32"/>
      <c r="H7" s="4"/>
    </row>
    <row r="8" spans="1:8" s="16" customFormat="1" ht="15" customHeight="1" x14ac:dyDescent="0.25">
      <c r="A8" s="8"/>
      <c r="B8" s="4"/>
      <c r="C8" s="33" t="s">
        <v>139</v>
      </c>
      <c r="D8" s="36"/>
      <c r="E8" s="35"/>
      <c r="F8" s="32"/>
      <c r="G8" s="32"/>
      <c r="H8" s="4"/>
    </row>
    <row r="9" spans="1:8" s="16" customFormat="1" ht="15" customHeight="1" x14ac:dyDescent="0.25">
      <c r="A9" s="8"/>
      <c r="B9" s="4"/>
      <c r="C9" s="37" t="s">
        <v>140</v>
      </c>
      <c r="D9" s="38"/>
      <c r="E9" s="39"/>
      <c r="F9" s="32"/>
      <c r="G9" s="32"/>
      <c r="H9" s="4"/>
    </row>
    <row r="10" spans="1:8" s="16" customFormat="1" ht="15" customHeight="1" x14ac:dyDescent="0.25">
      <c r="A10" s="8"/>
      <c r="B10" s="4"/>
      <c r="C10" s="4"/>
      <c r="D10" s="4"/>
      <c r="E10" s="4"/>
      <c r="F10" s="32"/>
      <c r="G10" s="32"/>
      <c r="H10" s="4"/>
    </row>
    <row r="11" spans="1:8" s="16" customFormat="1" ht="15" customHeight="1" x14ac:dyDescent="0.25">
      <c r="A11" s="8"/>
      <c r="B11" s="4"/>
      <c r="C11" s="4"/>
      <c r="D11" s="4"/>
      <c r="E11" s="4"/>
      <c r="F11" s="32"/>
      <c r="G11" s="32"/>
      <c r="H11" s="4"/>
    </row>
    <row r="12" spans="1:8" s="16" customFormat="1" ht="15" customHeight="1" x14ac:dyDescent="0.25">
      <c r="A12" s="8"/>
      <c r="B12" s="4"/>
      <c r="C12" s="4"/>
      <c r="D12" s="4"/>
      <c r="E12" s="4"/>
      <c r="F12" s="32"/>
      <c r="G12" s="32"/>
      <c r="H12" s="4"/>
    </row>
    <row r="13" spans="1:8" s="16" customFormat="1" ht="15" customHeight="1" x14ac:dyDescent="0.25">
      <c r="A13" s="8"/>
      <c r="B13" s="4"/>
      <c r="C13" s="4"/>
      <c r="D13" s="4"/>
      <c r="E13" s="4"/>
      <c r="F13" s="32"/>
      <c r="G13" s="32"/>
      <c r="H13" s="4"/>
    </row>
    <row r="14" spans="1:8" s="16" customFormat="1" ht="15" customHeight="1" x14ac:dyDescent="0.25">
      <c r="A14" s="8"/>
      <c r="B14" s="4"/>
      <c r="C14" s="4"/>
      <c r="D14" s="4"/>
      <c r="E14" s="4"/>
      <c r="F14" s="32"/>
      <c r="G14" s="32"/>
      <c r="H14" s="4"/>
    </row>
    <row r="15" spans="1:8" s="16" customFormat="1" ht="15" customHeight="1" x14ac:dyDescent="0.25">
      <c r="A15" s="8"/>
      <c r="B15" s="4"/>
      <c r="C15" s="4"/>
      <c r="D15" s="4"/>
      <c r="E15" s="4"/>
      <c r="F15" s="32"/>
      <c r="G15" s="32"/>
      <c r="H15" s="4"/>
    </row>
    <row r="16" spans="1:8" s="16" customFormat="1" ht="15" customHeight="1" x14ac:dyDescent="0.25">
      <c r="A16" s="8"/>
      <c r="B16" s="4"/>
      <c r="C16" s="4"/>
      <c r="D16" s="4"/>
      <c r="E16" s="4"/>
      <c r="F16" s="32"/>
      <c r="G16" s="32"/>
      <c r="H16" s="4"/>
    </row>
    <row r="17" spans="1:8" s="16" customFormat="1" ht="15" customHeight="1" x14ac:dyDescent="0.25">
      <c r="A17" s="8"/>
      <c r="B17" s="4"/>
      <c r="C17" s="4"/>
      <c r="D17" s="4"/>
      <c r="E17" s="4"/>
      <c r="F17" s="32"/>
      <c r="G17" s="32"/>
      <c r="H17" s="4"/>
    </row>
    <row r="18" spans="1:8" s="16" customFormat="1" ht="15" customHeight="1" x14ac:dyDescent="0.25">
      <c r="A18" s="8"/>
      <c r="B18" s="4"/>
      <c r="C18" s="4"/>
      <c r="D18" s="4"/>
      <c r="E18" s="4"/>
      <c r="F18" s="32"/>
      <c r="G18" s="32"/>
      <c r="H18" s="4"/>
    </row>
    <row r="19" spans="1:8" s="16" customFormat="1" ht="15" customHeight="1" x14ac:dyDescent="0.25">
      <c r="A19" s="8"/>
      <c r="B19" s="4"/>
      <c r="C19" s="4"/>
      <c r="D19" s="4"/>
      <c r="E19" s="4"/>
      <c r="F19" s="32"/>
      <c r="G19" s="32"/>
      <c r="H19" s="4"/>
    </row>
    <row r="20" spans="1:8" s="16" customFormat="1" ht="15" customHeight="1" x14ac:dyDescent="0.25">
      <c r="A20" s="8"/>
      <c r="B20" s="4"/>
      <c r="C20" s="4"/>
      <c r="D20" s="4"/>
      <c r="E20" s="4"/>
      <c r="F20" s="32"/>
      <c r="G20" s="32"/>
      <c r="H20" s="4"/>
    </row>
    <row r="21" spans="1:8" s="16" customFormat="1" ht="15" customHeight="1" x14ac:dyDescent="0.25">
      <c r="A21" s="8"/>
      <c r="B21" s="4"/>
      <c r="C21" s="4"/>
      <c r="D21" s="4"/>
      <c r="E21" s="4"/>
      <c r="F21" s="32"/>
      <c r="G21" s="32"/>
      <c r="H21" s="4"/>
    </row>
    <row r="22" spans="1:8" s="16" customFormat="1" ht="15" customHeight="1" x14ac:dyDescent="0.25">
      <c r="A22" s="8"/>
      <c r="B22" s="4"/>
      <c r="F22" s="40"/>
      <c r="G22" s="40"/>
    </row>
    <row r="23" spans="1:8" s="16" customFormat="1" ht="15" customHeight="1" x14ac:dyDescent="0.25">
      <c r="A23" s="8"/>
      <c r="B23" s="4"/>
      <c r="F23" s="40"/>
      <c r="G23" s="40"/>
    </row>
    <row r="24" spans="1:8" s="16" customFormat="1" ht="15" customHeight="1" x14ac:dyDescent="0.25">
      <c r="A24" s="8"/>
      <c r="B24" s="4"/>
      <c r="F24" s="40"/>
      <c r="G24" s="40"/>
    </row>
    <row r="27" spans="1:8" ht="15" customHeight="1" x14ac:dyDescent="0.25">
      <c r="A27" s="8" t="s">
        <v>106</v>
      </c>
    </row>
    <row r="28" spans="1:8" ht="15" customHeight="1" x14ac:dyDescent="0.25">
      <c r="A28" s="8" t="s">
        <v>107</v>
      </c>
    </row>
    <row r="29" spans="1:8" ht="15" customHeight="1" x14ac:dyDescent="0.25">
      <c r="A29" s="8" t="s">
        <v>108</v>
      </c>
    </row>
    <row r="30" spans="1:8" ht="15" customHeight="1" x14ac:dyDescent="0.25">
      <c r="A30" s="8" t="s">
        <v>109</v>
      </c>
      <c r="C30" s="4"/>
      <c r="D30" s="4"/>
      <c r="E30" s="4"/>
      <c r="F30" s="32"/>
    </row>
    <row r="31" spans="1:8" ht="15" customHeight="1" x14ac:dyDescent="0.25">
      <c r="A31" s="8" t="s">
        <v>110</v>
      </c>
      <c r="C31" s="20" t="s">
        <v>141</v>
      </c>
      <c r="D31" s="20" t="s">
        <v>152</v>
      </c>
      <c r="E31" s="20" t="s">
        <v>153</v>
      </c>
      <c r="F31" s="20" t="s">
        <v>155</v>
      </c>
    </row>
    <row r="32" spans="1:8" ht="15" customHeight="1" x14ac:dyDescent="0.25">
      <c r="A32" s="8" t="s">
        <v>111</v>
      </c>
      <c r="C32" s="42" t="s">
        <v>142</v>
      </c>
      <c r="D32" s="32"/>
      <c r="E32" s="32"/>
      <c r="F32" s="32"/>
      <c r="G32" s="4"/>
    </row>
    <row r="33" spans="1:8" ht="15" customHeight="1" x14ac:dyDescent="0.25">
      <c r="A33" s="8" t="s">
        <v>112</v>
      </c>
      <c r="C33" s="42" t="s">
        <v>143</v>
      </c>
      <c r="D33" s="4"/>
      <c r="E33" s="4"/>
      <c r="F33" s="4"/>
      <c r="G33" s="4"/>
      <c r="H33" s="4"/>
    </row>
    <row r="34" spans="1:8" ht="15" customHeight="1" x14ac:dyDescent="0.25">
      <c r="A34" s="8" t="s">
        <v>361</v>
      </c>
      <c r="C34" s="42" t="s">
        <v>144</v>
      </c>
      <c r="D34" s="4"/>
      <c r="E34" s="4"/>
      <c r="F34" s="4"/>
      <c r="G34" s="4"/>
      <c r="H34" s="4"/>
    </row>
    <row r="35" spans="1:8" ht="15" customHeight="1" x14ac:dyDescent="0.25">
      <c r="A35" s="8" t="s">
        <v>113</v>
      </c>
      <c r="C35" s="42" t="s">
        <v>145</v>
      </c>
      <c r="D35" s="4"/>
      <c r="E35" s="4"/>
      <c r="F35" s="4"/>
      <c r="G35" s="4"/>
      <c r="H35" s="4"/>
    </row>
    <row r="36" spans="1:8" ht="15" customHeight="1" x14ac:dyDescent="0.25">
      <c r="C36" s="42" t="s">
        <v>146</v>
      </c>
      <c r="D36" s="4"/>
      <c r="E36" s="4"/>
      <c r="F36" s="4"/>
      <c r="G36" s="4"/>
      <c r="H36" s="4"/>
    </row>
    <row r="37" spans="1:8" ht="15" customHeight="1" x14ac:dyDescent="0.25">
      <c r="C37" s="42" t="s">
        <v>147</v>
      </c>
      <c r="D37" s="4"/>
      <c r="E37" s="4"/>
      <c r="F37" s="4"/>
      <c r="G37" s="4"/>
      <c r="H37" s="4"/>
    </row>
    <row r="38" spans="1:8" ht="15" customHeight="1" x14ac:dyDescent="0.25">
      <c r="C38" s="42" t="s">
        <v>148</v>
      </c>
      <c r="D38" s="4"/>
      <c r="E38" s="4"/>
      <c r="F38" s="4"/>
      <c r="G38" s="4"/>
      <c r="H38" s="4"/>
    </row>
    <row r="39" spans="1:8" ht="15" customHeight="1" x14ac:dyDescent="0.25">
      <c r="C39" s="43" t="s">
        <v>149</v>
      </c>
      <c r="D39" s="44"/>
      <c r="E39" s="44"/>
      <c r="F39" s="44"/>
      <c r="G39" s="4"/>
      <c r="H39" s="4"/>
    </row>
    <row r="40" spans="1:8" ht="15" customHeight="1" x14ac:dyDescent="0.25">
      <c r="C40" s="45"/>
      <c r="D40" s="45"/>
      <c r="E40" s="45"/>
      <c r="F40" s="45"/>
      <c r="G40" s="32"/>
      <c r="H40" s="4"/>
    </row>
    <row r="41" spans="1:8" ht="15" customHeight="1" x14ac:dyDescent="0.25">
      <c r="C41" s="4"/>
      <c r="D41" s="4"/>
      <c r="E41" s="4"/>
      <c r="F41" s="32"/>
      <c r="G41" s="32"/>
      <c r="H41" s="4"/>
    </row>
    <row r="42" spans="1:8" ht="15" customHeight="1" x14ac:dyDescent="0.25">
      <c r="C42" s="4"/>
      <c r="D42" s="4"/>
      <c r="E42" s="4"/>
      <c r="F42" s="32"/>
      <c r="G42" s="32"/>
      <c r="H42" s="4"/>
    </row>
    <row r="43" spans="1:8" ht="15" customHeight="1" x14ac:dyDescent="0.25">
      <c r="C43" s="4"/>
      <c r="D43" s="4"/>
      <c r="E43" s="4"/>
      <c r="F43" s="32"/>
      <c r="G43" s="4"/>
      <c r="H43" s="4"/>
    </row>
    <row r="44" spans="1:8" ht="15" customHeight="1" x14ac:dyDescent="0.25">
      <c r="C44" s="4"/>
      <c r="D44" s="4"/>
      <c r="E44" s="4"/>
      <c r="F44" s="32"/>
      <c r="G44" s="4"/>
      <c r="H44" s="4"/>
    </row>
    <row r="45" spans="1:8" ht="15" customHeight="1" x14ac:dyDescent="0.25">
      <c r="C45" s="4"/>
      <c r="D45" s="4"/>
      <c r="E45" s="4"/>
      <c r="F45" s="32"/>
      <c r="G45" s="4"/>
      <c r="H45" s="4"/>
    </row>
    <row r="46" spans="1:8" ht="15" customHeight="1" x14ac:dyDescent="0.25">
      <c r="C46" s="4"/>
      <c r="D46" s="4"/>
      <c r="E46" s="4"/>
      <c r="F46" s="32"/>
      <c r="G46" s="4"/>
      <c r="H46" s="4"/>
    </row>
    <row r="47" spans="1:8" ht="15" customHeight="1" x14ac:dyDescent="0.25">
      <c r="C47" s="4"/>
      <c r="D47" s="4"/>
      <c r="E47" s="4"/>
      <c r="F47" s="32"/>
      <c r="G47" s="4"/>
      <c r="H47" s="4"/>
    </row>
    <row r="48" spans="1:8" ht="15" customHeight="1" x14ac:dyDescent="0.25">
      <c r="C48" s="4"/>
      <c r="D48" s="4"/>
      <c r="E48" s="4"/>
      <c r="F48" s="32"/>
      <c r="G48" s="4"/>
      <c r="H48" s="4"/>
    </row>
    <row r="49" spans="1:8" ht="15" customHeight="1" x14ac:dyDescent="0.25">
      <c r="A49" s="8" t="s">
        <v>114</v>
      </c>
      <c r="C49" s="4"/>
      <c r="D49" s="4"/>
      <c r="E49" s="4"/>
      <c r="F49" s="32"/>
      <c r="G49" s="4"/>
      <c r="H49" s="4"/>
    </row>
    <row r="50" spans="1:8" ht="15" customHeight="1" x14ac:dyDescent="0.25">
      <c r="A50" s="8" t="s">
        <v>115</v>
      </c>
      <c r="C50" s="4"/>
      <c r="D50" s="4"/>
      <c r="E50" s="4"/>
      <c r="F50" s="32"/>
      <c r="G50" s="4"/>
      <c r="H50" s="4"/>
    </row>
    <row r="51" spans="1:8" ht="15" customHeight="1" x14ac:dyDescent="0.25">
      <c r="A51" s="8" t="s">
        <v>116</v>
      </c>
      <c r="C51" s="4"/>
      <c r="D51" s="4"/>
      <c r="E51" s="4"/>
      <c r="F51" s="32"/>
      <c r="G51" s="4"/>
      <c r="H51" s="4"/>
    </row>
    <row r="52" spans="1:8" ht="15" customHeight="1" x14ac:dyDescent="0.25">
      <c r="A52" s="8" t="s">
        <v>117</v>
      </c>
      <c r="C52" s="4"/>
      <c r="D52" s="4"/>
      <c r="E52" s="4"/>
      <c r="F52" s="32"/>
      <c r="G52" s="4"/>
      <c r="H52" s="4"/>
    </row>
    <row r="53" spans="1:8" ht="15" customHeight="1" x14ac:dyDescent="0.25">
      <c r="A53" s="8" t="s">
        <v>118</v>
      </c>
      <c r="C53" s="4"/>
      <c r="D53" s="4"/>
      <c r="E53" s="4"/>
      <c r="F53" s="32"/>
      <c r="G53" s="4"/>
      <c r="H53" s="4"/>
    </row>
    <row r="54" spans="1:8" ht="15" customHeight="1" x14ac:dyDescent="0.25">
      <c r="A54" s="8" t="s">
        <v>119</v>
      </c>
      <c r="C54" s="4"/>
      <c r="D54" s="4"/>
      <c r="E54" s="4"/>
      <c r="F54" s="32"/>
      <c r="G54" s="4"/>
      <c r="H54" s="4"/>
    </row>
    <row r="55" spans="1:8" ht="15" customHeight="1" x14ac:dyDescent="0.25">
      <c r="A55" s="8" t="s">
        <v>120</v>
      </c>
      <c r="C55" s="20" t="s">
        <v>150</v>
      </c>
      <c r="E55" s="20" t="s">
        <v>152</v>
      </c>
      <c r="F55" s="46" t="s">
        <v>156</v>
      </c>
      <c r="G55" s="20" t="s">
        <v>157</v>
      </c>
      <c r="H55" s="20" t="s">
        <v>153</v>
      </c>
    </row>
    <row r="56" spans="1:8" ht="15" customHeight="1" x14ac:dyDescent="0.25">
      <c r="A56" s="8" t="s">
        <v>121</v>
      </c>
      <c r="C56" s="21" t="s">
        <v>151</v>
      </c>
      <c r="E56" s="22" t="str">
        <f>LEFT(C56,FIND(" ",C56)-1)</f>
        <v>Yvonne</v>
      </c>
      <c r="F56" s="22" t="str">
        <f>RIGHT(C56,LEN(C56)-FIND(" ",C56))</f>
        <v>Francis McKay</v>
      </c>
      <c r="G56" s="22" t="str">
        <f>LEFT(F56,FIND(" ",F56)-1)</f>
        <v>Francis</v>
      </c>
      <c r="H56" s="22" t="str">
        <f>RIGHT(F56,LEN(F56)-FIND(" ",F56))</f>
        <v>McKay</v>
      </c>
    </row>
    <row r="57" spans="1:8" ht="15" customHeight="1" x14ac:dyDescent="0.25">
      <c r="A57" s="8" t="s">
        <v>122</v>
      </c>
      <c r="C57" s="4"/>
      <c r="D57" s="4"/>
      <c r="E57" s="4"/>
      <c r="F57" s="32"/>
      <c r="G57" s="4"/>
      <c r="H57" s="4"/>
    </row>
    <row r="58" spans="1:8" ht="15" customHeight="1" x14ac:dyDescent="0.25">
      <c r="A58" s="8" t="s">
        <v>123</v>
      </c>
      <c r="C58" s="4"/>
      <c r="D58" s="4"/>
      <c r="E58" s="4"/>
      <c r="F58" s="32"/>
      <c r="G58" s="4"/>
      <c r="H58" s="4"/>
    </row>
    <row r="59" spans="1:8" ht="15" customHeight="1" x14ac:dyDescent="0.25">
      <c r="A59" s="8" t="s">
        <v>124</v>
      </c>
      <c r="D59" s="4"/>
      <c r="E59" s="4"/>
      <c r="F59" s="32"/>
      <c r="G59" s="4"/>
      <c r="H59" s="4"/>
    </row>
    <row r="60" spans="1:8" ht="15" customHeight="1" x14ac:dyDescent="0.25">
      <c r="A60" s="8" t="s">
        <v>125</v>
      </c>
      <c r="D60" s="4"/>
      <c r="E60" s="4"/>
      <c r="F60" s="32"/>
      <c r="G60" s="4"/>
      <c r="H60" s="4"/>
    </row>
    <row r="61" spans="1:8" ht="15" customHeight="1" x14ac:dyDescent="0.25">
      <c r="A61" s="47" t="s">
        <v>126</v>
      </c>
      <c r="C61" s="4"/>
      <c r="D61" s="4"/>
      <c r="E61" s="4"/>
      <c r="F61" s="32"/>
      <c r="G61" s="4"/>
      <c r="H61" s="4"/>
    </row>
    <row r="62" spans="1:8" ht="15" customHeight="1" x14ac:dyDescent="0.25">
      <c r="A62" s="8" t="s">
        <v>127</v>
      </c>
      <c r="D62" s="4"/>
      <c r="E62" s="4"/>
      <c r="F62" s="32"/>
      <c r="G62" s="4"/>
      <c r="H62" s="4"/>
    </row>
    <row r="63" spans="1:8" ht="15" customHeight="1" x14ac:dyDescent="0.25">
      <c r="A63" s="8" t="s">
        <v>128</v>
      </c>
      <c r="D63" s="4"/>
      <c r="E63" s="4"/>
      <c r="F63" s="32"/>
      <c r="G63" s="4"/>
      <c r="H63" s="4"/>
    </row>
    <row r="64" spans="1:8" ht="15" customHeight="1" x14ac:dyDescent="0.25">
      <c r="C64" s="4"/>
      <c r="D64" s="4"/>
      <c r="E64" s="4"/>
      <c r="F64" s="32"/>
      <c r="G64" s="4"/>
      <c r="H64" s="4"/>
    </row>
    <row r="65" spans="1:8" ht="15" customHeight="1" x14ac:dyDescent="0.25">
      <c r="D65" s="4"/>
      <c r="E65" s="4"/>
      <c r="F65" s="32"/>
      <c r="G65" s="4"/>
      <c r="H65" s="4"/>
    </row>
    <row r="66" spans="1:8" ht="15" customHeight="1" x14ac:dyDescent="0.25">
      <c r="D66" s="4"/>
      <c r="E66" s="4"/>
      <c r="F66" s="32"/>
      <c r="G66" s="4"/>
      <c r="H66" s="4"/>
    </row>
    <row r="67" spans="1:8" ht="15" customHeight="1" x14ac:dyDescent="0.25">
      <c r="C67" s="4"/>
      <c r="D67" s="4"/>
      <c r="E67" s="4"/>
      <c r="F67" s="32"/>
      <c r="G67" s="4"/>
      <c r="H67" s="4"/>
    </row>
    <row r="68" spans="1:8" ht="15" customHeight="1" x14ac:dyDescent="0.25">
      <c r="D68" s="4"/>
      <c r="E68" s="4"/>
      <c r="F68" s="32"/>
      <c r="G68" s="4"/>
      <c r="H68" s="4"/>
    </row>
    <row r="69" spans="1:8" ht="15" customHeight="1" x14ac:dyDescent="0.25">
      <c r="D69" s="4"/>
      <c r="E69" s="4"/>
      <c r="F69" s="32"/>
      <c r="G69" s="32"/>
      <c r="H69" s="4"/>
    </row>
    <row r="70" spans="1:8" ht="15" customHeight="1" x14ac:dyDescent="0.25">
      <c r="C70" s="4"/>
      <c r="D70" s="4"/>
      <c r="E70" s="4"/>
      <c r="F70" s="32"/>
      <c r="G70" s="32"/>
      <c r="H70" s="4"/>
    </row>
    <row r="71" spans="1:8" ht="15" customHeight="1" x14ac:dyDescent="0.25">
      <c r="C71" s="4"/>
      <c r="D71" s="4"/>
      <c r="E71" s="4"/>
      <c r="F71" s="32"/>
      <c r="G71" s="32"/>
      <c r="H71" s="4"/>
    </row>
    <row r="72" spans="1:8" ht="15" customHeight="1" x14ac:dyDescent="0.25">
      <c r="C72" s="4"/>
      <c r="D72" s="4"/>
      <c r="E72" s="4"/>
      <c r="F72" s="32"/>
      <c r="G72" s="32"/>
      <c r="H72" s="4"/>
    </row>
    <row r="73" spans="1:8" ht="15" customHeight="1" x14ac:dyDescent="0.25">
      <c r="C73" s="4"/>
      <c r="D73" s="4"/>
      <c r="E73" s="4"/>
      <c r="F73" s="32"/>
      <c r="G73" s="32"/>
      <c r="H73" s="4"/>
    </row>
    <row r="74" spans="1:8" ht="15" customHeight="1" x14ac:dyDescent="0.25">
      <c r="C74" s="4"/>
      <c r="D74" s="4"/>
      <c r="E74" s="4"/>
      <c r="F74" s="32"/>
      <c r="G74" s="32"/>
      <c r="H74" s="4"/>
    </row>
    <row r="75" spans="1:8" ht="15" customHeight="1" x14ac:dyDescent="0.25">
      <c r="C75" s="4"/>
      <c r="D75" s="4"/>
      <c r="E75" s="4"/>
      <c r="F75" s="32"/>
      <c r="G75" s="32"/>
      <c r="H75" s="4"/>
    </row>
    <row r="76" spans="1:8" ht="15" customHeight="1" x14ac:dyDescent="0.25">
      <c r="C76" s="4"/>
      <c r="D76" s="4"/>
      <c r="E76" s="4"/>
      <c r="F76" s="32"/>
      <c r="G76" s="32"/>
      <c r="H76" s="4"/>
    </row>
    <row r="77" spans="1:8" ht="15" customHeight="1" x14ac:dyDescent="0.25">
      <c r="C77" s="4"/>
      <c r="D77" s="4"/>
      <c r="E77" s="4"/>
      <c r="F77" s="32"/>
      <c r="G77" s="32"/>
      <c r="H77" s="4"/>
    </row>
    <row r="78" spans="1:8" ht="15" customHeight="1" x14ac:dyDescent="0.25">
      <c r="C78" s="4"/>
      <c r="D78" s="4"/>
      <c r="E78" s="4"/>
      <c r="F78" s="32"/>
      <c r="G78" s="32"/>
      <c r="H78" s="4"/>
    </row>
    <row r="79" spans="1:8" ht="15" customHeight="1" x14ac:dyDescent="0.25">
      <c r="A79" s="8" t="s">
        <v>41</v>
      </c>
      <c r="C79" s="4"/>
      <c r="D79" s="4"/>
      <c r="E79" s="4"/>
      <c r="F79" s="32"/>
      <c r="G79" s="32"/>
      <c r="H79" s="4"/>
    </row>
    <row r="80" spans="1:8" ht="15" customHeight="1" x14ac:dyDescent="0.25">
      <c r="A80" s="8" t="s">
        <v>129</v>
      </c>
      <c r="C80" s="4"/>
      <c r="D80" s="4"/>
      <c r="E80" s="4"/>
      <c r="F80" s="32"/>
      <c r="G80" s="32"/>
      <c r="H80" s="4"/>
    </row>
    <row r="81" spans="1:8" ht="15" customHeight="1" x14ac:dyDescent="0.25">
      <c r="A81" s="8" t="s">
        <v>130</v>
      </c>
      <c r="C81" s="4"/>
      <c r="D81" s="4"/>
      <c r="E81" s="4"/>
      <c r="F81" s="32"/>
      <c r="G81" s="32"/>
      <c r="H81" s="4"/>
    </row>
    <row r="82" spans="1:8" ht="15" customHeight="1" x14ac:dyDescent="0.25">
      <c r="A82" s="8" t="s">
        <v>131</v>
      </c>
      <c r="C82" s="4"/>
      <c r="D82" s="4"/>
      <c r="E82" s="4"/>
      <c r="F82" s="32"/>
      <c r="G82" s="32"/>
      <c r="H82" s="4"/>
    </row>
    <row r="83" spans="1:8" ht="15" customHeight="1" x14ac:dyDescent="0.25">
      <c r="A83" s="8" t="s">
        <v>132</v>
      </c>
      <c r="C83" s="4"/>
      <c r="D83" s="4"/>
      <c r="E83" s="4"/>
      <c r="F83" s="32"/>
      <c r="G83" s="32"/>
      <c r="H83" s="4"/>
    </row>
    <row r="84" spans="1:8" ht="15" customHeight="1" x14ac:dyDescent="0.25">
      <c r="A84" s="8" t="s">
        <v>133</v>
      </c>
      <c r="C84" s="4"/>
      <c r="D84" s="4"/>
      <c r="E84" s="4"/>
      <c r="F84" s="32"/>
      <c r="G84" s="32"/>
      <c r="H84" s="4"/>
    </row>
    <row r="85" spans="1:8" ht="15" customHeight="1" x14ac:dyDescent="0.25">
      <c r="A85" s="8" t="s">
        <v>134</v>
      </c>
      <c r="C85" s="4"/>
      <c r="D85" s="4"/>
      <c r="E85" s="4"/>
      <c r="F85" s="32"/>
      <c r="G85" s="32"/>
      <c r="H85" s="4"/>
    </row>
    <row r="86" spans="1:8" ht="15" customHeight="1" x14ac:dyDescent="0.25">
      <c r="A86" s="8" t="s">
        <v>86</v>
      </c>
      <c r="C86" s="4"/>
      <c r="D86" s="4"/>
      <c r="E86" s="4"/>
      <c r="F86" s="32"/>
      <c r="G86" s="32"/>
      <c r="H86" s="4"/>
    </row>
  </sheetData>
  <phoneticPr fontId="22" type="noConversion"/>
  <hyperlinks>
    <hyperlink ref="A80" r:id="rId1" tooltip="選取以從 Web 了解如何將文字分割成不同的欄" xr:uid="{00000000-0004-0000-0300-000000000000}"/>
    <hyperlink ref="A81" r:id="rId2" tooltip="選取以從 Web 全面了解 [取得及轉換]" xr:uid="{00000000-0004-0000-0300-000001000000}"/>
    <hyperlink ref="A82" r:id="rId3" tooltip="選取以從 Web 全面了解 LEFT 函數" xr:uid="{00000000-0004-0000-0300-000002000000}"/>
    <hyperlink ref="A83" r:id="rId4" tooltip="選取以從 Web 全面了解 RIGHT 函數" xr:uid="{00000000-0004-0000-0300-000003000000}"/>
    <hyperlink ref="A84" r:id="rId5" tooltip="選取以從 Web 全面了解 FIND 函數" xr:uid="{00000000-0004-0000-0300-000004000000}"/>
    <hyperlink ref="A85" r:id="rId6" tooltip="選取以從 Web 全面了解 LEN 函數" xr:uid="{00000000-0004-0000-0300-000005000000}"/>
  </hyperlinks>
  <pageMargins left="0.7" right="0.7" top="0.75" bottom="0.75" header="0.3" footer="0.3"/>
  <pageSetup paperSize="9" orientation="portrait"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H76"/>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16384" width="8.88671875" style="13"/>
  </cols>
  <sheetData>
    <row r="1" spans="1:8" ht="60" customHeight="1" x14ac:dyDescent="0.25">
      <c r="A1" s="8" t="s">
        <v>158</v>
      </c>
      <c r="C1" s="4"/>
      <c r="D1" s="4"/>
      <c r="E1" s="4"/>
      <c r="F1" s="4"/>
      <c r="G1" s="4"/>
      <c r="H1" s="4"/>
    </row>
    <row r="2" spans="1:8" ht="15" customHeight="1" x14ac:dyDescent="0.25">
      <c r="A2" s="8" t="s">
        <v>159</v>
      </c>
      <c r="C2" s="4"/>
      <c r="D2" s="4"/>
      <c r="E2" s="4"/>
      <c r="F2" s="4"/>
      <c r="G2" s="4"/>
      <c r="H2" s="4"/>
    </row>
    <row r="3" spans="1:8" ht="15" customHeight="1" x14ac:dyDescent="0.25">
      <c r="A3" s="8" t="s">
        <v>160</v>
      </c>
      <c r="C3" s="4"/>
      <c r="D3" s="4"/>
      <c r="E3" s="4"/>
      <c r="F3" s="4"/>
      <c r="G3" s="4"/>
      <c r="H3" s="4"/>
    </row>
    <row r="4" spans="1:8" ht="15" customHeight="1" x14ac:dyDescent="0.25">
      <c r="A4" s="8" t="s">
        <v>161</v>
      </c>
      <c r="C4" s="4"/>
      <c r="D4" s="4"/>
      <c r="E4" s="4"/>
      <c r="F4" s="4"/>
      <c r="G4" s="4"/>
      <c r="H4" s="4"/>
    </row>
    <row r="5" spans="1:8" s="16" customFormat="1" ht="15" customHeight="1" x14ac:dyDescent="0.25">
      <c r="A5" s="8" t="s">
        <v>162</v>
      </c>
      <c r="B5" s="4"/>
      <c r="C5" s="20" t="s">
        <v>52</v>
      </c>
      <c r="D5" s="21" t="s">
        <v>53</v>
      </c>
      <c r="E5" s="21" t="s">
        <v>54</v>
      </c>
      <c r="F5" s="21" t="s">
        <v>55</v>
      </c>
      <c r="G5" s="21" t="s">
        <v>56</v>
      </c>
      <c r="H5" s="21" t="s">
        <v>57</v>
      </c>
    </row>
    <row r="6" spans="1:8" s="16" customFormat="1" ht="15" customHeight="1" x14ac:dyDescent="0.25">
      <c r="A6" s="8" t="s">
        <v>163</v>
      </c>
      <c r="B6" s="4"/>
      <c r="C6" s="20" t="s">
        <v>59</v>
      </c>
      <c r="D6" s="21">
        <v>50</v>
      </c>
      <c r="E6" s="21">
        <v>100</v>
      </c>
      <c r="F6" s="21">
        <v>40</v>
      </c>
      <c r="G6" s="21">
        <v>50</v>
      </c>
      <c r="H6" s="21">
        <v>20</v>
      </c>
    </row>
    <row r="7" spans="1:8" s="16" customFormat="1" ht="15" customHeight="1" x14ac:dyDescent="0.25">
      <c r="A7" s="8" t="s">
        <v>164</v>
      </c>
      <c r="B7" s="4"/>
      <c r="C7" s="4"/>
      <c r="D7" s="4"/>
      <c r="E7" s="4"/>
      <c r="F7" s="4"/>
      <c r="G7" s="4"/>
      <c r="H7" s="4"/>
    </row>
    <row r="8" spans="1:8" s="16" customFormat="1" ht="15" customHeight="1" x14ac:dyDescent="0.25">
      <c r="A8" s="8" t="s">
        <v>165</v>
      </c>
      <c r="B8" s="4"/>
      <c r="C8" s="4"/>
      <c r="D8" s="4"/>
      <c r="E8" s="4"/>
      <c r="F8" s="4"/>
      <c r="G8" s="4"/>
      <c r="H8" s="4"/>
    </row>
    <row r="9" spans="1:8" s="16" customFormat="1" ht="15" customHeight="1" x14ac:dyDescent="0.25">
      <c r="A9" s="11" t="s">
        <v>15</v>
      </c>
      <c r="B9" s="4"/>
      <c r="C9" s="22"/>
      <c r="D9" s="4"/>
      <c r="E9" s="4"/>
      <c r="F9" s="4"/>
      <c r="G9" s="4"/>
      <c r="H9" s="4"/>
    </row>
    <row r="10" spans="1:8" s="16" customFormat="1" ht="15" customHeight="1" x14ac:dyDescent="0.25">
      <c r="A10" s="8"/>
      <c r="B10" s="4"/>
      <c r="C10" s="4"/>
      <c r="D10" s="4"/>
      <c r="E10" s="4"/>
      <c r="F10" s="4"/>
      <c r="G10" s="4"/>
      <c r="H10" s="4"/>
    </row>
    <row r="11" spans="1:8" s="16" customFormat="1" ht="15" customHeight="1" x14ac:dyDescent="0.25">
      <c r="A11" s="8"/>
      <c r="B11" s="4"/>
      <c r="C11" s="4"/>
      <c r="D11" s="4"/>
      <c r="E11" s="4"/>
      <c r="F11" s="4"/>
      <c r="G11" s="4"/>
      <c r="H11" s="4"/>
    </row>
    <row r="12" spans="1:8" s="16" customFormat="1" ht="15" customHeight="1" x14ac:dyDescent="0.25">
      <c r="A12" s="8"/>
      <c r="B12" s="4"/>
      <c r="C12" s="4"/>
      <c r="D12" s="4"/>
      <c r="E12" s="4"/>
      <c r="F12" s="4"/>
      <c r="G12" s="4"/>
      <c r="H12" s="4"/>
    </row>
    <row r="13" spans="1:8" s="16" customFormat="1" ht="15" customHeight="1" x14ac:dyDescent="0.25">
      <c r="A13" s="8"/>
      <c r="B13" s="4"/>
      <c r="C13" s="4"/>
      <c r="D13" s="4"/>
      <c r="E13" s="4"/>
      <c r="F13" s="4"/>
      <c r="G13" s="4"/>
      <c r="H13" s="4"/>
    </row>
    <row r="14" spans="1:8" s="16" customFormat="1" ht="15" customHeight="1" x14ac:dyDescent="0.25">
      <c r="A14" s="8"/>
      <c r="B14" s="4"/>
      <c r="C14" s="4"/>
      <c r="D14" s="4"/>
      <c r="E14" s="4"/>
      <c r="F14" s="4"/>
      <c r="G14" s="4"/>
      <c r="H14" s="4"/>
    </row>
    <row r="15" spans="1:8" s="16" customFormat="1" ht="15" customHeight="1" x14ac:dyDescent="0.25">
      <c r="A15" s="8"/>
      <c r="B15" s="4"/>
      <c r="C15" s="4"/>
      <c r="D15" s="4"/>
      <c r="E15" s="4"/>
      <c r="F15" s="4"/>
      <c r="G15" s="4"/>
      <c r="H15" s="4"/>
    </row>
    <row r="16" spans="1:8" s="16" customFormat="1" ht="15" customHeight="1" x14ac:dyDescent="0.25">
      <c r="A16" s="8"/>
      <c r="B16" s="4"/>
      <c r="C16" s="4"/>
      <c r="D16" s="4"/>
      <c r="E16" s="4"/>
      <c r="F16" s="4"/>
      <c r="G16" s="4"/>
      <c r="H16" s="4"/>
    </row>
    <row r="17" spans="1:8" s="16" customFormat="1" ht="15" customHeight="1" x14ac:dyDescent="0.25">
      <c r="A17" s="8"/>
      <c r="B17" s="4"/>
      <c r="C17" s="4"/>
      <c r="D17" s="4"/>
      <c r="E17" s="4"/>
      <c r="F17" s="4"/>
      <c r="G17" s="4"/>
      <c r="H17" s="4"/>
    </row>
    <row r="18" spans="1:8" s="16" customFormat="1" ht="15" customHeight="1" x14ac:dyDescent="0.25">
      <c r="A18" s="8"/>
      <c r="B18" s="4"/>
      <c r="C18" s="4"/>
      <c r="D18" s="4"/>
      <c r="E18" s="4"/>
      <c r="F18" s="4"/>
      <c r="G18" s="4"/>
      <c r="H18" s="4"/>
    </row>
    <row r="19" spans="1:8" s="16" customFormat="1" ht="15" customHeight="1" x14ac:dyDescent="0.25">
      <c r="A19" s="8"/>
      <c r="B19" s="4"/>
      <c r="C19" s="4"/>
      <c r="D19" s="4"/>
      <c r="E19" s="4"/>
      <c r="F19" s="4"/>
      <c r="G19" s="4"/>
      <c r="H19" s="4"/>
    </row>
    <row r="20" spans="1:8" s="16" customFormat="1" ht="15" customHeight="1" x14ac:dyDescent="0.25">
      <c r="A20" s="8"/>
      <c r="B20" s="4"/>
      <c r="C20" s="4"/>
      <c r="D20" s="4"/>
      <c r="E20" s="4"/>
      <c r="F20" s="4"/>
      <c r="G20" s="4"/>
      <c r="H20" s="4"/>
    </row>
    <row r="21" spans="1:8" s="16" customFormat="1" ht="15" customHeight="1" x14ac:dyDescent="0.25">
      <c r="A21" s="8"/>
      <c r="B21" s="4"/>
      <c r="C21" s="4"/>
      <c r="D21" s="4"/>
      <c r="E21" s="4"/>
      <c r="F21" s="4"/>
      <c r="G21" s="4"/>
      <c r="H21" s="4"/>
    </row>
    <row r="22" spans="1:8" s="16" customFormat="1" ht="15" customHeight="1" x14ac:dyDescent="0.25">
      <c r="A22" s="8"/>
      <c r="B22" s="4"/>
    </row>
    <row r="23" spans="1:8" s="16" customFormat="1" ht="15" customHeight="1" x14ac:dyDescent="0.25">
      <c r="A23" s="8"/>
      <c r="B23" s="4"/>
    </row>
    <row r="24" spans="1:8" s="16" customFormat="1" ht="15" customHeight="1" x14ac:dyDescent="0.25">
      <c r="A24" s="8"/>
      <c r="B24" s="4"/>
    </row>
    <row r="27" spans="1:8" ht="15" customHeight="1" x14ac:dyDescent="0.25">
      <c r="A27" s="8" t="s">
        <v>166</v>
      </c>
    </row>
    <row r="28" spans="1:8" ht="15" customHeight="1" x14ac:dyDescent="0.25">
      <c r="A28" s="8" t="s">
        <v>167</v>
      </c>
    </row>
    <row r="29" spans="1:8" ht="15" customHeight="1" x14ac:dyDescent="0.25">
      <c r="A29" s="8" t="s">
        <v>168</v>
      </c>
      <c r="C29" s="4"/>
      <c r="D29" s="4"/>
      <c r="E29" s="4"/>
      <c r="F29" s="4"/>
      <c r="G29" s="4"/>
    </row>
    <row r="30" spans="1:8" ht="15" customHeight="1" x14ac:dyDescent="0.25">
      <c r="A30" s="11" t="s">
        <v>169</v>
      </c>
      <c r="C30" s="4"/>
      <c r="D30" s="4"/>
      <c r="E30" s="4"/>
      <c r="F30" s="4"/>
      <c r="G30" s="4"/>
    </row>
    <row r="31" spans="1:8" ht="15" customHeight="1" x14ac:dyDescent="0.25">
      <c r="A31" s="8" t="s">
        <v>170</v>
      </c>
      <c r="C31" s="4"/>
      <c r="D31" s="4"/>
      <c r="E31" s="4"/>
      <c r="F31" s="4"/>
      <c r="G31" s="4"/>
    </row>
    <row r="32" spans="1:8" ht="15" customHeight="1" x14ac:dyDescent="0.25">
      <c r="A32" s="11" t="s">
        <v>171</v>
      </c>
      <c r="C32" s="4"/>
      <c r="D32" s="4"/>
      <c r="E32" s="4"/>
      <c r="F32" s="4"/>
      <c r="G32" s="4"/>
    </row>
    <row r="33" spans="1:8" ht="15" customHeight="1" x14ac:dyDescent="0.25">
      <c r="A33" s="8" t="s">
        <v>172</v>
      </c>
      <c r="C33" s="20" t="s">
        <v>52</v>
      </c>
      <c r="D33" s="21" t="s">
        <v>53</v>
      </c>
      <c r="E33" s="21" t="s">
        <v>54</v>
      </c>
      <c r="F33" s="21" t="s">
        <v>55</v>
      </c>
      <c r="G33" s="21" t="s">
        <v>56</v>
      </c>
      <c r="H33" s="21" t="s">
        <v>57</v>
      </c>
    </row>
    <row r="34" spans="1:8" ht="15" customHeight="1" x14ac:dyDescent="0.25">
      <c r="C34" s="20" t="s">
        <v>59</v>
      </c>
      <c r="D34" s="21">
        <v>50</v>
      </c>
      <c r="E34" s="21">
        <v>100</v>
      </c>
      <c r="F34" s="21">
        <v>40</v>
      </c>
      <c r="G34" s="21">
        <v>50</v>
      </c>
      <c r="H34" s="21">
        <v>20</v>
      </c>
    </row>
    <row r="35" spans="1:8" ht="15" customHeight="1" x14ac:dyDescent="0.25">
      <c r="C35" s="4"/>
      <c r="D35" s="4"/>
      <c r="E35" s="4"/>
      <c r="F35" s="4"/>
      <c r="G35" s="4"/>
      <c r="H35" s="4"/>
    </row>
    <row r="36" spans="1:8" ht="15" customHeight="1" x14ac:dyDescent="0.25">
      <c r="C36" s="4"/>
      <c r="D36" s="4"/>
      <c r="E36" s="4"/>
      <c r="F36" s="4"/>
      <c r="G36" s="4"/>
      <c r="H36" s="4"/>
    </row>
    <row r="37" spans="1:8" ht="15" customHeight="1" x14ac:dyDescent="0.25">
      <c r="C37" s="4"/>
      <c r="D37" s="4"/>
      <c r="E37" s="4"/>
      <c r="F37" s="4"/>
      <c r="G37" s="4"/>
      <c r="H37" s="4"/>
    </row>
    <row r="38" spans="1:8" ht="15" customHeight="1" x14ac:dyDescent="0.25">
      <c r="E38" s="4"/>
      <c r="F38" s="4"/>
      <c r="G38" s="4"/>
      <c r="H38" s="4"/>
    </row>
    <row r="39" spans="1:8" ht="15" customHeight="1" x14ac:dyDescent="0.25">
      <c r="E39" s="4"/>
      <c r="F39" s="4"/>
      <c r="G39" s="4"/>
      <c r="H39" s="4"/>
    </row>
    <row r="40" spans="1:8" ht="15" customHeight="1" x14ac:dyDescent="0.25">
      <c r="C40" s="22"/>
      <c r="D40" s="22"/>
      <c r="E40" s="4"/>
      <c r="F40" s="4"/>
      <c r="G40" s="4"/>
      <c r="H40" s="4"/>
    </row>
    <row r="41" spans="1:8" ht="15" customHeight="1" x14ac:dyDescent="0.25">
      <c r="C41" s="22"/>
      <c r="D41" s="22"/>
      <c r="E41" s="4"/>
      <c r="F41" s="4"/>
      <c r="G41" s="4"/>
      <c r="H41" s="4"/>
    </row>
    <row r="42" spans="1:8" ht="15" customHeight="1" x14ac:dyDescent="0.25">
      <c r="C42" s="22"/>
      <c r="D42" s="22"/>
      <c r="E42" s="4"/>
      <c r="F42" s="4"/>
      <c r="G42" s="4"/>
      <c r="H42" s="4"/>
    </row>
    <row r="43" spans="1:8" ht="15" customHeight="1" x14ac:dyDescent="0.25">
      <c r="C43" s="22"/>
      <c r="D43" s="22"/>
      <c r="E43" s="4"/>
      <c r="F43" s="4"/>
      <c r="G43" s="4"/>
      <c r="H43" s="4"/>
    </row>
    <row r="44" spans="1:8" ht="15" customHeight="1" x14ac:dyDescent="0.25">
      <c r="C44" s="22"/>
      <c r="D44" s="22"/>
      <c r="E44" s="4"/>
      <c r="F44" s="4"/>
      <c r="G44" s="4"/>
      <c r="H44" s="4"/>
    </row>
    <row r="45" spans="1:8" ht="15" customHeight="1" x14ac:dyDescent="0.25">
      <c r="C45" s="22"/>
      <c r="D45" s="22"/>
      <c r="E45" s="4"/>
      <c r="F45" s="4"/>
      <c r="G45" s="4"/>
      <c r="H45" s="4"/>
    </row>
    <row r="46" spans="1:8" ht="15" customHeight="1" x14ac:dyDescent="0.25">
      <c r="C46" s="4"/>
      <c r="D46" s="4"/>
      <c r="E46" s="4"/>
      <c r="F46" s="4"/>
      <c r="G46" s="4"/>
      <c r="H46" s="4"/>
    </row>
    <row r="47" spans="1:8" ht="15" customHeight="1" x14ac:dyDescent="0.25">
      <c r="C47" s="4"/>
      <c r="D47" s="4"/>
      <c r="E47" s="4"/>
      <c r="F47" s="4"/>
      <c r="G47" s="4"/>
      <c r="H47" s="4"/>
    </row>
    <row r="48" spans="1:8" ht="15" customHeight="1" x14ac:dyDescent="0.25">
      <c r="C48" s="4"/>
      <c r="D48" s="4"/>
      <c r="E48" s="4"/>
      <c r="F48" s="4"/>
      <c r="G48" s="4"/>
      <c r="H48" s="4"/>
    </row>
    <row r="49" spans="1:8" ht="15" customHeight="1" x14ac:dyDescent="0.25">
      <c r="C49" s="4"/>
      <c r="D49" s="4"/>
      <c r="E49" s="4"/>
      <c r="F49" s="4"/>
      <c r="G49" s="4"/>
      <c r="H49" s="4"/>
    </row>
    <row r="50" spans="1:8" ht="15" customHeight="1" x14ac:dyDescent="0.25">
      <c r="C50" s="4"/>
      <c r="D50" s="4"/>
      <c r="E50" s="4"/>
      <c r="F50" s="4"/>
      <c r="G50" s="4"/>
      <c r="H50" s="4"/>
    </row>
    <row r="51" spans="1:8" ht="15" customHeight="1" x14ac:dyDescent="0.25">
      <c r="C51" s="4"/>
      <c r="D51" s="4"/>
      <c r="E51" s="4"/>
      <c r="F51" s="4"/>
      <c r="G51" s="4"/>
      <c r="H51" s="4"/>
    </row>
    <row r="52" spans="1:8" ht="15" customHeight="1" x14ac:dyDescent="0.25">
      <c r="C52" s="4"/>
      <c r="D52" s="4"/>
      <c r="E52" s="4"/>
      <c r="F52" s="4"/>
      <c r="G52" s="4"/>
      <c r="H52" s="4"/>
    </row>
    <row r="53" spans="1:8" ht="15" customHeight="1" x14ac:dyDescent="0.25">
      <c r="C53" s="4"/>
      <c r="D53" s="4"/>
      <c r="E53" s="4"/>
      <c r="F53" s="4"/>
      <c r="G53" s="4"/>
      <c r="H53" s="4"/>
    </row>
    <row r="54" spans="1:8" ht="15" customHeight="1" x14ac:dyDescent="0.25">
      <c r="A54" s="8" t="s">
        <v>173</v>
      </c>
      <c r="C54" s="4"/>
      <c r="D54" s="4"/>
      <c r="E54" s="4"/>
      <c r="F54" s="4"/>
      <c r="G54" s="4"/>
      <c r="H54" s="4"/>
    </row>
    <row r="55" spans="1:8" ht="15" customHeight="1" x14ac:dyDescent="0.25">
      <c r="A55" s="8" t="s">
        <v>174</v>
      </c>
      <c r="C55" s="4"/>
      <c r="D55" s="4"/>
      <c r="E55" s="4"/>
      <c r="F55" s="4"/>
      <c r="G55" s="4"/>
      <c r="H55" s="4"/>
    </row>
    <row r="56" spans="1:8" ht="15" customHeight="1" x14ac:dyDescent="0.25">
      <c r="A56" s="8" t="s">
        <v>175</v>
      </c>
      <c r="C56" s="4"/>
      <c r="D56" s="4"/>
      <c r="E56" s="4"/>
      <c r="F56" s="4"/>
      <c r="G56" s="4"/>
      <c r="H56" s="4"/>
    </row>
    <row r="57" spans="1:8" ht="15" customHeight="1" x14ac:dyDescent="0.25">
      <c r="A57" s="11" t="s">
        <v>176</v>
      </c>
      <c r="C57" s="4"/>
      <c r="D57" s="4"/>
      <c r="E57" s="4"/>
      <c r="F57" s="4"/>
      <c r="G57" s="4"/>
      <c r="H57" s="4"/>
    </row>
    <row r="58" spans="1:8" ht="15" customHeight="1" x14ac:dyDescent="0.25">
      <c r="A58" s="8" t="s">
        <v>177</v>
      </c>
      <c r="C58" s="4"/>
      <c r="D58" s="4"/>
      <c r="E58" s="4"/>
      <c r="F58" s="4"/>
      <c r="G58" s="4"/>
      <c r="H58" s="4"/>
    </row>
    <row r="59" spans="1:8" ht="15" customHeight="1" x14ac:dyDescent="0.25">
      <c r="A59" s="8" t="s">
        <v>178</v>
      </c>
      <c r="C59" s="4"/>
      <c r="D59" s="4"/>
      <c r="E59" s="4"/>
      <c r="F59" s="4"/>
      <c r="G59" s="4"/>
      <c r="H59" s="4"/>
    </row>
    <row r="60" spans="1:8" ht="15" customHeight="1" x14ac:dyDescent="0.25">
      <c r="C60" s="4"/>
      <c r="D60" s="4"/>
      <c r="E60" s="4"/>
      <c r="F60" s="4"/>
      <c r="G60" s="4"/>
      <c r="H60" s="4"/>
    </row>
    <row r="61" spans="1:8" ht="15" customHeight="1" x14ac:dyDescent="0.25">
      <c r="C61" s="4"/>
      <c r="D61" s="4"/>
      <c r="E61" s="4"/>
      <c r="F61" s="4"/>
      <c r="G61" s="4"/>
      <c r="H61" s="4"/>
    </row>
    <row r="69" spans="1:8" ht="15" customHeight="1" x14ac:dyDescent="0.25">
      <c r="C69" s="4"/>
      <c r="D69" s="4"/>
      <c r="E69" s="4"/>
      <c r="F69" s="4"/>
      <c r="G69" s="4"/>
      <c r="H69" s="4"/>
    </row>
    <row r="70" spans="1:8" ht="15" customHeight="1" x14ac:dyDescent="0.25">
      <c r="C70" s="4"/>
      <c r="D70" s="4"/>
      <c r="E70" s="4"/>
      <c r="F70" s="4"/>
      <c r="G70" s="4"/>
      <c r="H70" s="4"/>
    </row>
    <row r="71" spans="1:8" ht="15" customHeight="1" x14ac:dyDescent="0.25">
      <c r="C71" s="4"/>
      <c r="D71" s="4"/>
      <c r="E71" s="4"/>
      <c r="F71" s="4"/>
      <c r="G71" s="4"/>
      <c r="H71" s="4"/>
    </row>
    <row r="72" spans="1:8" ht="15" customHeight="1" x14ac:dyDescent="0.25">
      <c r="A72" s="8" t="s">
        <v>41</v>
      </c>
      <c r="C72" s="4"/>
      <c r="D72" s="4"/>
      <c r="E72" s="4"/>
      <c r="F72" s="4"/>
      <c r="G72" s="4"/>
      <c r="H72" s="4"/>
    </row>
    <row r="73" spans="1:8" ht="15" customHeight="1" x14ac:dyDescent="0.25">
      <c r="A73" s="8" t="s">
        <v>179</v>
      </c>
      <c r="C73" s="4"/>
      <c r="D73" s="4"/>
      <c r="E73" s="4"/>
      <c r="F73" s="4"/>
      <c r="G73" s="4"/>
      <c r="H73" s="4"/>
    </row>
    <row r="74" spans="1:8" ht="15" customHeight="1" x14ac:dyDescent="0.25">
      <c r="A74" s="8" t="s">
        <v>180</v>
      </c>
      <c r="C74" s="4"/>
      <c r="D74" s="4"/>
      <c r="E74" s="4"/>
      <c r="F74" s="4"/>
      <c r="G74" s="4"/>
      <c r="H74" s="4"/>
    </row>
    <row r="75" spans="1:8" ht="15" customHeight="1" x14ac:dyDescent="0.25">
      <c r="A75" s="8" t="s">
        <v>181</v>
      </c>
      <c r="C75" s="4"/>
      <c r="D75" s="4"/>
      <c r="E75" s="4"/>
      <c r="F75" s="4"/>
      <c r="G75" s="4"/>
      <c r="H75" s="4"/>
    </row>
    <row r="76" spans="1:8" ht="15" customHeight="1" x14ac:dyDescent="0.25">
      <c r="A76" s="8" t="s">
        <v>86</v>
      </c>
      <c r="C76" s="4"/>
      <c r="D76" s="4"/>
      <c r="E76" s="4"/>
      <c r="F76" s="4"/>
      <c r="G76" s="4"/>
      <c r="H76" s="4"/>
    </row>
  </sheetData>
  <phoneticPr fontId="22" type="noConversion"/>
  <hyperlinks>
    <hyperlink ref="A75" r:id="rId1" tooltip="選取以從 Web 了解如何建立陣列公式" xr:uid="{00000000-0004-0000-0400-000000000000}"/>
    <hyperlink ref="A74" r:id="rId2" tooltip="選取以從 Web 全面了解 TRANSPOSE 函數" xr:uid="{00000000-0004-0000-0400-000001000000}"/>
    <hyperlink ref="A73" r:id="rId3" tooltip="選取以從 Web 了解如何將資料從列轉置 (旋轉) 到欄或反向操作" xr:uid="{00000000-0004-0000-0400-000002000000}"/>
  </hyperlinks>
  <pageMargins left="0.7" right="0.7" top="0.75" bottom="0.75" header="0.3" footer="0.3"/>
  <pageSetup paperSize="9" orientation="portrait" r:id="rId4"/>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63"/>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3" width="15.21875" style="13" customWidth="1"/>
    <col min="4" max="4" width="12.6640625" style="13" customWidth="1"/>
    <col min="5" max="5" width="10.6640625" style="13" bestFit="1" customWidth="1"/>
    <col min="6" max="6" width="11.77734375" style="13" bestFit="1" customWidth="1"/>
    <col min="7" max="7" width="13.33203125" style="13" bestFit="1" customWidth="1"/>
    <col min="8" max="16384" width="8.88671875" style="13"/>
  </cols>
  <sheetData>
    <row r="1" spans="1:7" ht="60" customHeight="1" x14ac:dyDescent="0.25">
      <c r="A1" s="8" t="s">
        <v>182</v>
      </c>
      <c r="C1" s="4"/>
      <c r="D1" s="4"/>
      <c r="E1" s="4"/>
      <c r="F1" s="4"/>
      <c r="G1" s="4"/>
    </row>
    <row r="2" spans="1:7" ht="15" customHeight="1" x14ac:dyDescent="0.25">
      <c r="A2" s="8" t="s">
        <v>183</v>
      </c>
    </row>
    <row r="3" spans="1:7" ht="15" customHeight="1" x14ac:dyDescent="0.25">
      <c r="A3" s="8" t="s">
        <v>184</v>
      </c>
      <c r="C3" s="4"/>
      <c r="D3" s="4"/>
      <c r="E3" s="4"/>
      <c r="F3" s="4"/>
      <c r="G3" s="4"/>
    </row>
    <row r="4" spans="1:7" ht="15" customHeight="1" x14ac:dyDescent="0.25">
      <c r="A4" s="8" t="s">
        <v>185</v>
      </c>
      <c r="C4" s="4"/>
      <c r="D4" s="4"/>
      <c r="E4" s="4"/>
      <c r="F4" s="4"/>
      <c r="G4" s="4"/>
    </row>
    <row r="5" spans="1:7" s="16" customFormat="1" ht="15" customHeight="1" x14ac:dyDescent="0.25">
      <c r="A5" s="8" t="s">
        <v>362</v>
      </c>
      <c r="B5" s="4"/>
      <c r="C5" s="20" t="s">
        <v>88</v>
      </c>
      <c r="D5" s="20" t="s">
        <v>93</v>
      </c>
      <c r="E5" s="20" t="s">
        <v>213</v>
      </c>
      <c r="F5" s="20" t="s">
        <v>215</v>
      </c>
      <c r="G5" s="20" t="s">
        <v>217</v>
      </c>
    </row>
    <row r="6" spans="1:7" s="16" customFormat="1" ht="15" customHeight="1" x14ac:dyDescent="0.25">
      <c r="A6" s="8" t="s">
        <v>186</v>
      </c>
      <c r="B6" s="4"/>
      <c r="C6" s="21" t="s">
        <v>62</v>
      </c>
      <c r="D6" s="21" t="s">
        <v>63</v>
      </c>
      <c r="E6" s="28">
        <v>90000</v>
      </c>
      <c r="F6" s="28">
        <v>110000</v>
      </c>
      <c r="G6" s="28">
        <v>120000</v>
      </c>
    </row>
    <row r="7" spans="1:7" s="16" customFormat="1" ht="15" customHeight="1" x14ac:dyDescent="0.25">
      <c r="A7" s="8" t="s">
        <v>187</v>
      </c>
      <c r="B7" s="4"/>
      <c r="C7" s="4" t="s">
        <v>202</v>
      </c>
      <c r="D7" s="4" t="s">
        <v>205</v>
      </c>
      <c r="E7" s="19">
        <v>25000</v>
      </c>
      <c r="F7" s="19">
        <v>80000</v>
      </c>
      <c r="G7" s="19">
        <v>120000</v>
      </c>
    </row>
    <row r="8" spans="1:7" s="16" customFormat="1" ht="15" customHeight="1" x14ac:dyDescent="0.25">
      <c r="A8" s="8" t="s">
        <v>15</v>
      </c>
      <c r="B8" s="4"/>
      <c r="C8" s="21" t="s">
        <v>89</v>
      </c>
      <c r="D8" s="21" t="s">
        <v>47</v>
      </c>
      <c r="E8" s="28">
        <v>10000</v>
      </c>
      <c r="F8" s="28">
        <v>30000</v>
      </c>
      <c r="G8" s="28">
        <v>40000</v>
      </c>
    </row>
    <row r="9" spans="1:7" s="16" customFormat="1" ht="15" customHeight="1" x14ac:dyDescent="0.25">
      <c r="A9" s="8"/>
      <c r="B9" s="4"/>
      <c r="C9" s="4" t="s">
        <v>89</v>
      </c>
      <c r="D9" s="4" t="s">
        <v>241</v>
      </c>
      <c r="E9" s="19">
        <v>30000</v>
      </c>
      <c r="F9" s="19">
        <v>80000</v>
      </c>
      <c r="G9" s="19">
        <v>30000</v>
      </c>
    </row>
    <row r="10" spans="1:7" s="16" customFormat="1" ht="15" customHeight="1" x14ac:dyDescent="0.25">
      <c r="A10" s="8"/>
      <c r="B10" s="4"/>
      <c r="C10" s="21" t="s">
        <v>203</v>
      </c>
      <c r="D10" s="21" t="s">
        <v>243</v>
      </c>
      <c r="E10" s="28">
        <v>90000</v>
      </c>
      <c r="F10" s="28">
        <v>35000</v>
      </c>
      <c r="G10" s="28">
        <v>25000</v>
      </c>
    </row>
    <row r="11" spans="1:7" s="16" customFormat="1" ht="15" customHeight="1" x14ac:dyDescent="0.25">
      <c r="A11" s="8"/>
      <c r="B11" s="4"/>
      <c r="C11" s="4" t="s">
        <v>62</v>
      </c>
      <c r="D11" s="4" t="s">
        <v>64</v>
      </c>
      <c r="E11" s="19">
        <v>75000</v>
      </c>
      <c r="F11" s="19">
        <v>82000</v>
      </c>
      <c r="G11" s="19">
        <v>2000000</v>
      </c>
    </row>
    <row r="12" spans="1:7" s="16" customFormat="1" ht="15" customHeight="1" x14ac:dyDescent="0.25">
      <c r="A12" s="8"/>
      <c r="B12" s="4"/>
      <c r="C12" s="21" t="s">
        <v>202</v>
      </c>
      <c r="D12" s="21" t="s">
        <v>53</v>
      </c>
      <c r="E12" s="28">
        <v>30000</v>
      </c>
      <c r="F12" s="28">
        <v>15000</v>
      </c>
      <c r="G12" s="28">
        <v>20000</v>
      </c>
    </row>
    <row r="13" spans="1:7" s="16" customFormat="1" ht="15" customHeight="1" x14ac:dyDescent="0.25">
      <c r="A13" s="8"/>
      <c r="B13" s="4"/>
      <c r="C13" s="4" t="s">
        <v>203</v>
      </c>
      <c r="D13" s="4" t="s">
        <v>242</v>
      </c>
      <c r="E13" s="19">
        <v>80000</v>
      </c>
      <c r="F13" s="19">
        <v>40000</v>
      </c>
      <c r="G13" s="19">
        <v>20000</v>
      </c>
    </row>
    <row r="14" spans="1:7" s="16" customFormat="1" ht="15" customHeight="1" x14ac:dyDescent="0.25">
      <c r="A14" s="8"/>
      <c r="B14" s="4"/>
      <c r="C14" s="4"/>
      <c r="D14" s="4"/>
      <c r="E14" s="4"/>
      <c r="F14" s="4"/>
      <c r="G14" s="4"/>
    </row>
    <row r="15" spans="1:7" s="16" customFormat="1" ht="15" customHeight="1" x14ac:dyDescent="0.25">
      <c r="A15" s="8"/>
      <c r="B15" s="4"/>
      <c r="C15" s="4"/>
      <c r="D15" s="4"/>
      <c r="E15" s="4"/>
      <c r="F15" s="4"/>
      <c r="G15" s="4"/>
    </row>
    <row r="16" spans="1:7" s="16" customFormat="1" ht="15" customHeight="1" x14ac:dyDescent="0.25">
      <c r="A16" s="8"/>
      <c r="B16" s="4"/>
      <c r="C16" s="4"/>
      <c r="D16" s="4"/>
      <c r="E16" s="4"/>
      <c r="F16" s="4"/>
      <c r="G16" s="4"/>
    </row>
    <row r="17" spans="1:7" s="16" customFormat="1" ht="15" customHeight="1" x14ac:dyDescent="0.25">
      <c r="A17" s="8"/>
      <c r="B17" s="4"/>
      <c r="C17" s="4"/>
      <c r="D17" s="4"/>
      <c r="E17" s="4"/>
      <c r="F17" s="4"/>
      <c r="G17" s="4"/>
    </row>
    <row r="18" spans="1:7" s="16" customFormat="1" ht="15" customHeight="1" x14ac:dyDescent="0.25">
      <c r="A18" s="8"/>
      <c r="B18" s="4"/>
      <c r="C18" s="4"/>
      <c r="D18" s="4"/>
      <c r="E18" s="4"/>
      <c r="F18" s="4"/>
      <c r="G18" s="4"/>
    </row>
    <row r="19" spans="1:7" s="16" customFormat="1" ht="15" customHeight="1" x14ac:dyDescent="0.25">
      <c r="A19" s="8"/>
      <c r="B19" s="4"/>
      <c r="C19" s="4"/>
      <c r="D19" s="4"/>
      <c r="E19" s="4"/>
      <c r="F19" s="4"/>
      <c r="G19" s="4"/>
    </row>
    <row r="20" spans="1:7" s="16" customFormat="1" ht="15" customHeight="1" x14ac:dyDescent="0.25">
      <c r="A20" s="8"/>
      <c r="B20" s="4"/>
      <c r="C20" s="4"/>
      <c r="D20" s="4"/>
      <c r="E20" s="4"/>
      <c r="F20" s="4"/>
      <c r="G20" s="4"/>
    </row>
    <row r="21" spans="1:7" s="16" customFormat="1" ht="15" customHeight="1" x14ac:dyDescent="0.25">
      <c r="A21" s="8"/>
      <c r="B21" s="4"/>
      <c r="C21" s="4"/>
      <c r="D21" s="4"/>
      <c r="E21" s="4"/>
      <c r="F21" s="4"/>
      <c r="G21" s="4"/>
    </row>
    <row r="22" spans="1:7" s="16" customFormat="1" ht="15" customHeight="1" x14ac:dyDescent="0.25">
      <c r="A22" s="8"/>
      <c r="B22" s="4"/>
    </row>
    <row r="23" spans="1:7" s="16" customFormat="1" ht="15" customHeight="1" x14ac:dyDescent="0.25">
      <c r="A23" s="8"/>
      <c r="B23" s="4"/>
    </row>
    <row r="24" spans="1:7" s="16" customFormat="1" ht="15" customHeight="1" x14ac:dyDescent="0.25">
      <c r="A24" s="8"/>
      <c r="B24" s="4"/>
    </row>
    <row r="27" spans="1:7" ht="15" customHeight="1" x14ac:dyDescent="0.25">
      <c r="A27" s="8" t="s">
        <v>188</v>
      </c>
      <c r="C27" s="4"/>
      <c r="D27" s="4"/>
      <c r="E27" s="4"/>
      <c r="F27" s="4"/>
      <c r="G27" s="4"/>
    </row>
    <row r="28" spans="1:7" ht="15" customHeight="1" x14ac:dyDescent="0.25">
      <c r="A28" s="8" t="s">
        <v>189</v>
      </c>
      <c r="C28" s="4"/>
      <c r="D28" s="4"/>
      <c r="E28" s="4"/>
      <c r="F28" s="4"/>
      <c r="G28" s="4"/>
    </row>
    <row r="29" spans="1:7" ht="15" customHeight="1" x14ac:dyDescent="0.25">
      <c r="A29" s="8" t="s">
        <v>190</v>
      </c>
      <c r="C29" s="4"/>
      <c r="D29" s="4"/>
      <c r="E29" s="4"/>
      <c r="F29" s="4"/>
      <c r="G29" s="4"/>
    </row>
    <row r="30" spans="1:7" ht="15" customHeight="1" x14ac:dyDescent="0.25">
      <c r="A30" s="8" t="s">
        <v>191</v>
      </c>
      <c r="C30" s="4"/>
      <c r="D30" s="4"/>
      <c r="E30" s="4"/>
      <c r="F30" s="4"/>
      <c r="G30" s="4"/>
    </row>
    <row r="31" spans="1:7" ht="15" customHeight="1" x14ac:dyDescent="0.25">
      <c r="A31" s="8" t="s">
        <v>192</v>
      </c>
      <c r="C31" s="4" t="s">
        <v>204</v>
      </c>
      <c r="D31" s="4" t="s">
        <v>206</v>
      </c>
      <c r="E31" s="4" t="s">
        <v>214</v>
      </c>
      <c r="F31" s="4" t="s">
        <v>216</v>
      </c>
      <c r="G31" s="4"/>
    </row>
    <row r="32" spans="1:7" ht="15" customHeight="1" x14ac:dyDescent="0.25">
      <c r="A32" s="8" t="s">
        <v>193</v>
      </c>
      <c r="C32" s="55">
        <f ca="1">TODAY()-2</f>
        <v>46119</v>
      </c>
      <c r="D32" s="29" t="s">
        <v>207</v>
      </c>
      <c r="E32" s="30">
        <v>21</v>
      </c>
      <c r="F32" s="31">
        <v>3820</v>
      </c>
      <c r="G32" s="4"/>
    </row>
    <row r="33" spans="1:7" ht="15" customHeight="1" x14ac:dyDescent="0.25">
      <c r="A33" s="8" t="s">
        <v>194</v>
      </c>
      <c r="C33" s="55">
        <f ca="1">TODAY()-3</f>
        <v>46118</v>
      </c>
      <c r="D33" s="29" t="s">
        <v>208</v>
      </c>
      <c r="E33" s="30">
        <v>62</v>
      </c>
      <c r="F33" s="30">
        <v>2112</v>
      </c>
      <c r="G33" s="4"/>
    </row>
    <row r="34" spans="1:7" ht="15" customHeight="1" x14ac:dyDescent="0.25">
      <c r="C34" s="55">
        <f ca="1">TODAY()-6</f>
        <v>46115</v>
      </c>
      <c r="D34" s="29" t="s">
        <v>209</v>
      </c>
      <c r="E34" s="30">
        <v>25</v>
      </c>
      <c r="F34" s="30">
        <v>1611</v>
      </c>
      <c r="G34" s="4"/>
    </row>
    <row r="35" spans="1:7" ht="15" customHeight="1" x14ac:dyDescent="0.25">
      <c r="C35" s="55">
        <f ca="1">TODAY()</f>
        <v>46121</v>
      </c>
      <c r="D35" s="29" t="s">
        <v>210</v>
      </c>
      <c r="E35" s="30">
        <v>30</v>
      </c>
      <c r="F35" s="31">
        <v>3085</v>
      </c>
      <c r="G35" s="4"/>
    </row>
    <row r="36" spans="1:7" ht="15" customHeight="1" x14ac:dyDescent="0.25">
      <c r="C36" s="55">
        <f ca="1">TODAY()-4</f>
        <v>46117</v>
      </c>
      <c r="D36" s="29" t="s">
        <v>211</v>
      </c>
      <c r="E36" s="30">
        <v>69</v>
      </c>
      <c r="F36" s="30">
        <v>528</v>
      </c>
      <c r="G36" s="4"/>
    </row>
    <row r="37" spans="1:7" ht="15" customHeight="1" x14ac:dyDescent="0.25">
      <c r="C37" s="55">
        <f ca="1">TODAY()-5</f>
        <v>46116</v>
      </c>
      <c r="D37" s="29" t="s">
        <v>212</v>
      </c>
      <c r="E37" s="30">
        <v>45</v>
      </c>
      <c r="F37" s="31">
        <v>5050</v>
      </c>
      <c r="G37" s="4"/>
    </row>
    <row r="38" spans="1:7" ht="15" customHeight="1" x14ac:dyDescent="0.25">
      <c r="C38" s="4"/>
      <c r="D38" s="4"/>
      <c r="E38" s="4"/>
      <c r="F38" s="4"/>
      <c r="G38" s="4"/>
    </row>
    <row r="39" spans="1:7" ht="15" customHeight="1" x14ac:dyDescent="0.25">
      <c r="C39" s="4"/>
      <c r="D39" s="4"/>
      <c r="E39" s="4"/>
      <c r="F39" s="4"/>
      <c r="G39" s="4"/>
    </row>
    <row r="40" spans="1:7" ht="15" customHeight="1" x14ac:dyDescent="0.25">
      <c r="C40" s="4"/>
      <c r="D40" s="4"/>
      <c r="E40" s="4"/>
      <c r="F40" s="4"/>
      <c r="G40" s="4"/>
    </row>
    <row r="41" spans="1:7" ht="15" customHeight="1" x14ac:dyDescent="0.25">
      <c r="C41" s="4"/>
      <c r="D41" s="4"/>
      <c r="E41" s="4"/>
      <c r="F41" s="4"/>
      <c r="G41" s="4"/>
    </row>
    <row r="42" spans="1:7" ht="15" customHeight="1" x14ac:dyDescent="0.25">
      <c r="C42" s="4"/>
      <c r="D42" s="4"/>
      <c r="E42" s="4"/>
      <c r="F42" s="4"/>
      <c r="G42" s="4"/>
    </row>
    <row r="43" spans="1:7" ht="15" customHeight="1" x14ac:dyDescent="0.25">
      <c r="A43" s="8" t="s">
        <v>195</v>
      </c>
      <c r="C43" s="4"/>
      <c r="D43" s="4"/>
      <c r="E43" s="4"/>
      <c r="F43" s="4"/>
      <c r="G43" s="4"/>
    </row>
    <row r="44" spans="1:7" ht="15" customHeight="1" x14ac:dyDescent="0.25">
      <c r="A44" s="8" t="s">
        <v>196</v>
      </c>
      <c r="C44" s="4"/>
      <c r="D44" s="4"/>
      <c r="E44" s="4"/>
      <c r="F44" s="4"/>
      <c r="G44" s="4"/>
    </row>
    <row r="45" spans="1:7" ht="15" customHeight="1" x14ac:dyDescent="0.25">
      <c r="A45" s="8" t="s">
        <v>197</v>
      </c>
      <c r="C45" s="4"/>
      <c r="D45" s="4"/>
      <c r="E45" s="4"/>
      <c r="F45" s="4"/>
      <c r="G45" s="4"/>
    </row>
    <row r="46" spans="1:7" ht="15" customHeight="1" x14ac:dyDescent="0.25">
      <c r="A46" s="8" t="s">
        <v>198</v>
      </c>
      <c r="C46" s="4"/>
      <c r="D46" s="4"/>
      <c r="E46" s="4"/>
      <c r="F46" s="4"/>
      <c r="G46" s="4"/>
    </row>
    <row r="47" spans="1:7" ht="15" customHeight="1" x14ac:dyDescent="0.25">
      <c r="A47" s="8" t="s">
        <v>199</v>
      </c>
      <c r="C47" s="4"/>
      <c r="D47" s="4"/>
      <c r="E47" s="4"/>
      <c r="F47" s="4"/>
      <c r="G47" s="4"/>
    </row>
    <row r="48" spans="1:7" ht="15" customHeight="1" x14ac:dyDescent="0.25">
      <c r="C48" s="4"/>
      <c r="D48" s="4"/>
      <c r="E48" s="4"/>
      <c r="F48" s="4"/>
      <c r="G48" s="4"/>
    </row>
    <row r="49" spans="1:7" ht="15" customHeight="1" x14ac:dyDescent="0.25">
      <c r="C49" s="4" t="s">
        <v>204</v>
      </c>
      <c r="D49" s="4" t="s">
        <v>206</v>
      </c>
      <c r="E49" s="4" t="s">
        <v>214</v>
      </c>
      <c r="F49" s="4" t="s">
        <v>216</v>
      </c>
      <c r="G49" s="4"/>
    </row>
    <row r="50" spans="1:7" ht="15" customHeight="1" x14ac:dyDescent="0.25">
      <c r="C50" s="55">
        <f ca="1">TODAY()-2</f>
        <v>46119</v>
      </c>
      <c r="D50" s="29" t="s">
        <v>207</v>
      </c>
      <c r="E50" s="30">
        <v>21</v>
      </c>
      <c r="F50" s="30">
        <v>3820</v>
      </c>
      <c r="G50" s="4"/>
    </row>
    <row r="51" spans="1:7" ht="15" customHeight="1" x14ac:dyDescent="0.25">
      <c r="C51" s="55">
        <f ca="1">TODAY()-3</f>
        <v>46118</v>
      </c>
      <c r="D51" s="29" t="s">
        <v>208</v>
      </c>
      <c r="E51" s="30">
        <v>62</v>
      </c>
      <c r="F51" s="30">
        <v>2112</v>
      </c>
      <c r="G51" s="4"/>
    </row>
    <row r="52" spans="1:7" ht="15" customHeight="1" x14ac:dyDescent="0.25">
      <c r="C52" s="55">
        <f ca="1">TODAY()</f>
        <v>46121</v>
      </c>
      <c r="D52" s="29" t="s">
        <v>210</v>
      </c>
      <c r="E52" s="30">
        <v>30</v>
      </c>
      <c r="F52" s="30">
        <v>3085</v>
      </c>
      <c r="G52" s="4"/>
    </row>
    <row r="53" spans="1:7" ht="15" customHeight="1" x14ac:dyDescent="0.25">
      <c r="C53" s="55">
        <f ca="1">TODAY()-6</f>
        <v>46115</v>
      </c>
      <c r="D53" s="29" t="s">
        <v>209</v>
      </c>
      <c r="E53" s="30">
        <v>25</v>
      </c>
      <c r="F53" s="30">
        <v>1611</v>
      </c>
      <c r="G53" s="4"/>
    </row>
    <row r="54" spans="1:7" ht="15" customHeight="1" x14ac:dyDescent="0.25">
      <c r="C54" s="55">
        <f ca="1">TODAY()-5</f>
        <v>46116</v>
      </c>
      <c r="D54" s="29" t="s">
        <v>212</v>
      </c>
      <c r="E54" s="30">
        <v>45</v>
      </c>
      <c r="F54" s="30">
        <v>5050</v>
      </c>
      <c r="G54" s="4"/>
    </row>
    <row r="55" spans="1:7" ht="15" customHeight="1" x14ac:dyDescent="0.25">
      <c r="C55" s="55">
        <f ca="1">TODAY()-4</f>
        <v>46117</v>
      </c>
      <c r="D55" s="29" t="s">
        <v>211</v>
      </c>
      <c r="E55" s="30">
        <v>69</v>
      </c>
      <c r="F55" s="30">
        <v>528</v>
      </c>
      <c r="G55" s="4"/>
    </row>
    <row r="56" spans="1:7" ht="15" customHeight="1" x14ac:dyDescent="0.25">
      <c r="G56" s="4"/>
    </row>
    <row r="57" spans="1:7" ht="15" customHeight="1" x14ac:dyDescent="0.25">
      <c r="G57" s="4"/>
    </row>
    <row r="58" spans="1:7" ht="15" customHeight="1" x14ac:dyDescent="0.25">
      <c r="G58" s="4"/>
    </row>
    <row r="59" spans="1:7" ht="15" customHeight="1" x14ac:dyDescent="0.25">
      <c r="G59" s="4"/>
    </row>
    <row r="60" spans="1:7" ht="15" customHeight="1" x14ac:dyDescent="0.25">
      <c r="A60" s="8" t="s">
        <v>41</v>
      </c>
      <c r="C60" s="4"/>
      <c r="D60" s="4"/>
      <c r="E60" s="4"/>
      <c r="F60" s="4"/>
      <c r="G60" s="4"/>
    </row>
    <row r="61" spans="1:7" ht="15" customHeight="1" x14ac:dyDescent="0.25">
      <c r="A61" s="8" t="s">
        <v>200</v>
      </c>
      <c r="C61" s="4"/>
      <c r="D61" s="4"/>
      <c r="E61" s="4"/>
      <c r="F61" s="4"/>
      <c r="G61" s="4"/>
    </row>
    <row r="62" spans="1:7" ht="15" customHeight="1" x14ac:dyDescent="0.25">
      <c r="A62" s="8" t="s">
        <v>201</v>
      </c>
      <c r="C62" s="4"/>
      <c r="D62" s="4"/>
      <c r="E62" s="4"/>
      <c r="F62" s="4"/>
      <c r="G62" s="4"/>
    </row>
    <row r="63" spans="1:7" ht="15" customHeight="1" x14ac:dyDescent="0.25">
      <c r="A63" s="8" t="s">
        <v>86</v>
      </c>
      <c r="C63" s="4"/>
      <c r="D63" s="4"/>
      <c r="E63" s="4"/>
      <c r="F63" s="4"/>
      <c r="G63" s="4"/>
    </row>
  </sheetData>
  <sortState xmlns:xlrd2="http://schemas.microsoft.com/office/spreadsheetml/2017/richdata2" ref="C6:G13">
    <sortCondition ref="G5"/>
  </sortState>
  <phoneticPr fontId="22" type="noConversion"/>
  <hyperlinks>
    <hyperlink ref="A62" r:id="rId1" tooltip="選取以從 Web 了解如何篩選某個範圍或表格中的資料" xr:uid="{00000000-0004-0000-0500-000000000000}"/>
    <hyperlink ref="A61" r:id="rId2" tooltip="選取以從 Web 了解如何排序某個範圍或表格中的資料" xr:uid="{00000000-0004-0000-0500-000001000000}"/>
  </hyperlinks>
  <pageMargins left="0.7" right="0.7" top="0.75" bottom="0.75" header="0.3" footer="0.3"/>
  <pageSetup paperSize="9" orientation="portrait" r:id="rId3"/>
  <drawing r:id="rId4"/>
  <tableParts count="2">
    <tablePart r:id="rId5"/>
    <tablePart r:id="rId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76"/>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13" customWidth="1"/>
    <col min="3" max="3" width="13.88671875" style="13" customWidth="1"/>
    <col min="4" max="4" width="11.109375" style="13" customWidth="1"/>
    <col min="5" max="5" width="11.33203125" style="13" bestFit="1" customWidth="1"/>
    <col min="6" max="7" width="12.44140625" style="13" bestFit="1" customWidth="1"/>
    <col min="8" max="8" width="12.109375" style="13" customWidth="1"/>
    <col min="9" max="16384" width="8.88671875" style="13"/>
  </cols>
  <sheetData>
    <row r="1" spans="1:9" ht="60" customHeight="1" x14ac:dyDescent="0.5">
      <c r="A1" s="8" t="s">
        <v>218</v>
      </c>
      <c r="B1" s="25"/>
      <c r="C1" s="4"/>
      <c r="D1" s="4"/>
      <c r="E1" s="4"/>
      <c r="F1" s="4"/>
      <c r="G1" s="4"/>
      <c r="H1" s="4"/>
    </row>
    <row r="2" spans="1:9" ht="15" customHeight="1" x14ac:dyDescent="0.25">
      <c r="A2" s="8" t="s">
        <v>219</v>
      </c>
      <c r="C2" s="4"/>
      <c r="D2" s="4"/>
      <c r="E2" s="4"/>
      <c r="F2" s="4"/>
      <c r="G2" s="4"/>
      <c r="H2" s="4"/>
    </row>
    <row r="3" spans="1:9" ht="15" customHeight="1" x14ac:dyDescent="0.25">
      <c r="A3" s="8" t="s">
        <v>220</v>
      </c>
      <c r="B3" s="26"/>
      <c r="C3" s="4"/>
      <c r="D3" s="4"/>
      <c r="E3" s="4"/>
      <c r="F3" s="4"/>
      <c r="G3" s="4"/>
      <c r="H3" s="4"/>
    </row>
    <row r="4" spans="1:9" ht="15" customHeight="1" x14ac:dyDescent="0.25">
      <c r="A4" s="8" t="s">
        <v>221</v>
      </c>
      <c r="C4" s="4"/>
      <c r="D4" s="4"/>
      <c r="E4" s="4"/>
      <c r="F4" s="4"/>
      <c r="G4" s="4"/>
      <c r="H4" s="4"/>
    </row>
    <row r="5" spans="1:9" s="16" customFormat="1" ht="15" customHeight="1" x14ac:dyDescent="0.25">
      <c r="A5" s="8" t="s">
        <v>222</v>
      </c>
      <c r="C5" s="4" t="s">
        <v>88</v>
      </c>
      <c r="D5" s="4" t="s">
        <v>93</v>
      </c>
      <c r="E5" s="4" t="s">
        <v>213</v>
      </c>
      <c r="F5" s="4" t="s">
        <v>215</v>
      </c>
      <c r="G5" s="4" t="s">
        <v>217</v>
      </c>
      <c r="H5" s="4"/>
      <c r="I5" s="13"/>
    </row>
    <row r="6" spans="1:9" s="16" customFormat="1" ht="15" customHeight="1" x14ac:dyDescent="0.25">
      <c r="A6" s="8" t="s">
        <v>223</v>
      </c>
      <c r="B6" s="27"/>
      <c r="C6" s="4" t="s">
        <v>89</v>
      </c>
      <c r="D6" s="4" t="s">
        <v>241</v>
      </c>
      <c r="E6" s="4">
        <v>30000</v>
      </c>
      <c r="F6" s="4">
        <v>80000</v>
      </c>
      <c r="G6" s="4">
        <v>30000</v>
      </c>
      <c r="H6" s="4"/>
      <c r="I6" s="13"/>
    </row>
    <row r="7" spans="1:9" s="16" customFormat="1" ht="15" customHeight="1" x14ac:dyDescent="0.25">
      <c r="A7" s="8" t="s">
        <v>224</v>
      </c>
      <c r="C7" s="4" t="s">
        <v>89</v>
      </c>
      <c r="D7" s="4" t="s">
        <v>47</v>
      </c>
      <c r="E7" s="4">
        <v>10000</v>
      </c>
      <c r="F7" s="4">
        <v>30000</v>
      </c>
      <c r="G7" s="4">
        <v>40000</v>
      </c>
      <c r="H7" s="4"/>
      <c r="I7" s="13"/>
    </row>
    <row r="8" spans="1:9" s="16" customFormat="1" ht="15" customHeight="1" x14ac:dyDescent="0.25">
      <c r="A8" s="8" t="s">
        <v>225</v>
      </c>
      <c r="C8" s="4" t="s">
        <v>202</v>
      </c>
      <c r="D8" s="4" t="s">
        <v>53</v>
      </c>
      <c r="E8" s="4">
        <v>30000</v>
      </c>
      <c r="F8" s="4">
        <v>15000</v>
      </c>
      <c r="G8" s="4">
        <v>20000</v>
      </c>
      <c r="H8" s="4"/>
      <c r="I8" s="13"/>
    </row>
    <row r="9" spans="1:9" s="16" customFormat="1" ht="15" customHeight="1" x14ac:dyDescent="0.25">
      <c r="A9" s="11" t="s">
        <v>371</v>
      </c>
      <c r="C9" s="4" t="s">
        <v>202</v>
      </c>
      <c r="D9" s="4" t="s">
        <v>205</v>
      </c>
      <c r="E9" s="4">
        <v>25000</v>
      </c>
      <c r="F9" s="4">
        <v>80000</v>
      </c>
      <c r="G9" s="4">
        <v>120000</v>
      </c>
      <c r="H9" s="4"/>
      <c r="I9" s="13"/>
    </row>
    <row r="10" spans="1:9" s="16" customFormat="1" ht="15" customHeight="1" x14ac:dyDescent="0.25">
      <c r="A10" s="8" t="s">
        <v>15</v>
      </c>
      <c r="C10" s="4" t="s">
        <v>203</v>
      </c>
      <c r="D10" s="4" t="s">
        <v>242</v>
      </c>
      <c r="E10" s="4">
        <v>80000</v>
      </c>
      <c r="F10" s="4">
        <v>40000</v>
      </c>
      <c r="G10" s="4">
        <v>20000</v>
      </c>
      <c r="H10" s="4"/>
      <c r="I10" s="13"/>
    </row>
    <row r="11" spans="1:9" s="16" customFormat="1" ht="15" customHeight="1" x14ac:dyDescent="0.25">
      <c r="A11" s="8"/>
      <c r="C11" s="4" t="s">
        <v>203</v>
      </c>
      <c r="D11" s="4" t="s">
        <v>243</v>
      </c>
      <c r="E11" s="4">
        <v>90000</v>
      </c>
      <c r="F11" s="4">
        <v>35000</v>
      </c>
      <c r="G11" s="4">
        <v>25000</v>
      </c>
      <c r="H11" s="4"/>
      <c r="I11" s="13"/>
    </row>
    <row r="12" spans="1:9" s="16" customFormat="1" ht="15" customHeight="1" x14ac:dyDescent="0.25">
      <c r="A12" s="8"/>
      <c r="C12" s="4" t="s">
        <v>62</v>
      </c>
      <c r="D12" s="4" t="s">
        <v>63</v>
      </c>
      <c r="E12" s="4">
        <v>90000</v>
      </c>
      <c r="F12" s="4">
        <v>110000</v>
      </c>
      <c r="G12" s="4">
        <v>200000</v>
      </c>
      <c r="H12" s="4"/>
      <c r="I12" s="13"/>
    </row>
    <row r="13" spans="1:9" s="16" customFormat="1" ht="15" customHeight="1" x14ac:dyDescent="0.25">
      <c r="A13" s="8"/>
      <c r="C13" s="4" t="s">
        <v>62</v>
      </c>
      <c r="D13" s="4" t="s">
        <v>64</v>
      </c>
      <c r="E13" s="4">
        <v>75000</v>
      </c>
      <c r="F13" s="4">
        <v>82000</v>
      </c>
      <c r="G13" s="4">
        <v>150000</v>
      </c>
      <c r="H13" s="4"/>
      <c r="I13" s="13"/>
    </row>
    <row r="14" spans="1:9" s="16" customFormat="1" ht="15" customHeight="1" x14ac:dyDescent="0.25">
      <c r="A14" s="8"/>
      <c r="C14" s="4"/>
      <c r="D14" s="4"/>
      <c r="E14" s="4"/>
      <c r="F14" s="4"/>
      <c r="G14" s="4"/>
      <c r="H14" s="4"/>
    </row>
    <row r="15" spans="1:9" s="16" customFormat="1" ht="15" customHeight="1" x14ac:dyDescent="0.25">
      <c r="A15" s="8"/>
      <c r="C15" s="4"/>
      <c r="D15" s="4"/>
      <c r="E15" s="4"/>
      <c r="F15" s="4"/>
      <c r="G15" s="4"/>
      <c r="H15" s="4"/>
    </row>
    <row r="16" spans="1:9" s="16" customFormat="1" ht="15" customHeight="1" x14ac:dyDescent="0.25">
      <c r="A16" s="8"/>
      <c r="C16" s="4"/>
      <c r="D16" s="4"/>
      <c r="E16" s="4"/>
      <c r="F16" s="4"/>
      <c r="G16" s="4"/>
      <c r="H16" s="4"/>
    </row>
    <row r="17" spans="1:8" s="16" customFormat="1" ht="15" customHeight="1" x14ac:dyDescent="0.25">
      <c r="A17" s="8"/>
      <c r="C17" s="4"/>
      <c r="D17" s="4"/>
      <c r="E17" s="4"/>
      <c r="F17" s="4"/>
      <c r="G17" s="4"/>
      <c r="H17" s="4"/>
    </row>
    <row r="18" spans="1:8" s="16" customFormat="1" ht="15" customHeight="1" x14ac:dyDescent="0.25">
      <c r="A18" s="8"/>
      <c r="C18" s="4"/>
      <c r="D18" s="4"/>
      <c r="E18" s="4"/>
      <c r="F18" s="4"/>
      <c r="G18" s="4"/>
      <c r="H18" s="4"/>
    </row>
    <row r="19" spans="1:8" s="16" customFormat="1" ht="15" customHeight="1" x14ac:dyDescent="0.25">
      <c r="A19" s="8"/>
      <c r="C19" s="4"/>
      <c r="D19" s="4"/>
      <c r="E19" s="4"/>
      <c r="F19" s="4"/>
      <c r="G19" s="4"/>
      <c r="H19" s="4"/>
    </row>
    <row r="20" spans="1:8" s="16" customFormat="1" ht="15" customHeight="1" x14ac:dyDescent="0.25">
      <c r="A20" s="8"/>
      <c r="C20" s="4"/>
      <c r="D20" s="4"/>
      <c r="E20" s="4"/>
      <c r="F20" s="4"/>
      <c r="G20" s="4"/>
      <c r="H20" s="4"/>
    </row>
    <row r="21" spans="1:8" s="16" customFormat="1" ht="15" customHeight="1" x14ac:dyDescent="0.25">
      <c r="A21" s="8"/>
      <c r="C21" s="4"/>
      <c r="D21" s="4"/>
      <c r="E21" s="4"/>
      <c r="F21" s="4"/>
      <c r="G21" s="4"/>
      <c r="H21" s="4"/>
    </row>
    <row r="22" spans="1:8" s="16" customFormat="1" ht="15" customHeight="1" x14ac:dyDescent="0.25">
      <c r="A22" s="8"/>
    </row>
    <row r="23" spans="1:8" s="16" customFormat="1" ht="15" customHeight="1" x14ac:dyDescent="0.25">
      <c r="A23" s="8"/>
    </row>
    <row r="24" spans="1:8" s="16" customFormat="1" ht="15" customHeight="1" x14ac:dyDescent="0.25">
      <c r="A24" s="8"/>
    </row>
    <row r="27" spans="1:8" ht="15" customHeight="1" x14ac:dyDescent="0.25">
      <c r="A27" s="8" t="s">
        <v>226</v>
      </c>
      <c r="C27" s="4"/>
      <c r="D27" s="4"/>
      <c r="E27" s="4"/>
      <c r="F27" s="4"/>
      <c r="G27" s="4"/>
      <c r="H27" s="4"/>
    </row>
    <row r="28" spans="1:8" ht="15" customHeight="1" x14ac:dyDescent="0.25">
      <c r="A28" s="8" t="s">
        <v>227</v>
      </c>
      <c r="C28" s="4"/>
      <c r="D28" s="4"/>
      <c r="E28" s="4"/>
      <c r="F28" s="4"/>
      <c r="G28" s="4"/>
      <c r="H28" s="4"/>
    </row>
    <row r="29" spans="1:8" ht="15" customHeight="1" x14ac:dyDescent="0.25">
      <c r="A29" s="8" t="s">
        <v>228</v>
      </c>
      <c r="C29" s="4"/>
      <c r="D29" s="4"/>
      <c r="E29" s="4"/>
      <c r="F29" s="4"/>
      <c r="G29" s="4"/>
      <c r="H29" s="4"/>
    </row>
    <row r="30" spans="1:8" ht="15" customHeight="1" x14ac:dyDescent="0.25">
      <c r="A30" s="8" t="s">
        <v>363</v>
      </c>
      <c r="C30" s="4"/>
      <c r="D30" s="4"/>
      <c r="E30" s="4"/>
      <c r="F30" s="4"/>
      <c r="G30" s="4"/>
      <c r="H30" s="4"/>
    </row>
    <row r="31" spans="1:8" ht="15" customHeight="1" x14ac:dyDescent="0.25">
      <c r="A31" s="8" t="s">
        <v>229</v>
      </c>
      <c r="H31" s="4"/>
    </row>
    <row r="32" spans="1:8" ht="15" customHeight="1" x14ac:dyDescent="0.25">
      <c r="A32" s="8" t="s">
        <v>230</v>
      </c>
      <c r="H32" s="4"/>
    </row>
    <row r="33" spans="1:8" ht="15" customHeight="1" x14ac:dyDescent="0.25">
      <c r="A33" s="8" t="s">
        <v>231</v>
      </c>
      <c r="C33" s="20" t="s">
        <v>88</v>
      </c>
      <c r="D33" s="20" t="s">
        <v>93</v>
      </c>
      <c r="E33" s="20" t="s">
        <v>213</v>
      </c>
      <c r="F33" s="20" t="s">
        <v>215</v>
      </c>
      <c r="G33" s="20" t="s">
        <v>217</v>
      </c>
      <c r="H33" s="20" t="s">
        <v>245</v>
      </c>
    </row>
    <row r="34" spans="1:8" ht="15" customHeight="1" x14ac:dyDescent="0.25">
      <c r="C34" s="18" t="s">
        <v>89</v>
      </c>
      <c r="D34" s="18" t="s">
        <v>241</v>
      </c>
      <c r="E34" s="56">
        <v>30000</v>
      </c>
      <c r="F34" s="56">
        <v>80000</v>
      </c>
      <c r="G34" s="56">
        <v>30000</v>
      </c>
      <c r="H34" s="56"/>
    </row>
    <row r="35" spans="1:8" ht="15" customHeight="1" x14ac:dyDescent="0.25">
      <c r="C35" s="4" t="s">
        <v>89</v>
      </c>
      <c r="D35" s="4" t="s">
        <v>47</v>
      </c>
      <c r="E35" s="56">
        <v>10000</v>
      </c>
      <c r="F35" s="56">
        <v>30000</v>
      </c>
      <c r="G35" s="56">
        <v>40000</v>
      </c>
      <c r="H35" s="56"/>
    </row>
    <row r="36" spans="1:8" ht="15" customHeight="1" x14ac:dyDescent="0.25">
      <c r="C36" s="18" t="s">
        <v>202</v>
      </c>
      <c r="D36" s="18" t="s">
        <v>53</v>
      </c>
      <c r="E36" s="56">
        <v>30000</v>
      </c>
      <c r="F36" s="56">
        <v>15000</v>
      </c>
      <c r="G36" s="56">
        <v>20000</v>
      </c>
      <c r="H36" s="56"/>
    </row>
    <row r="37" spans="1:8" ht="15" customHeight="1" x14ac:dyDescent="0.25">
      <c r="C37" s="4" t="s">
        <v>202</v>
      </c>
      <c r="D37" s="4" t="s">
        <v>205</v>
      </c>
      <c r="E37" s="56">
        <v>25000</v>
      </c>
      <c r="F37" s="56">
        <v>80000</v>
      </c>
      <c r="G37" s="56">
        <v>120000</v>
      </c>
      <c r="H37" s="56"/>
    </row>
    <row r="38" spans="1:8" ht="15" customHeight="1" x14ac:dyDescent="0.25">
      <c r="C38" s="18" t="s">
        <v>203</v>
      </c>
      <c r="D38" s="18" t="s">
        <v>242</v>
      </c>
      <c r="E38" s="56">
        <v>80000</v>
      </c>
      <c r="F38" s="56">
        <v>40000</v>
      </c>
      <c r="G38" s="56">
        <v>20000</v>
      </c>
      <c r="H38" s="56"/>
    </row>
    <row r="39" spans="1:8" ht="15" customHeight="1" x14ac:dyDescent="0.25">
      <c r="C39" s="4" t="s">
        <v>203</v>
      </c>
      <c r="D39" s="4" t="s">
        <v>243</v>
      </c>
      <c r="E39" s="56">
        <v>90000</v>
      </c>
      <c r="F39" s="56">
        <v>35000</v>
      </c>
      <c r="G39" s="56">
        <v>25000</v>
      </c>
      <c r="H39" s="56"/>
    </row>
    <row r="40" spans="1:8" ht="15" customHeight="1" x14ac:dyDescent="0.25">
      <c r="C40" s="18" t="s">
        <v>62</v>
      </c>
      <c r="D40" s="18" t="s">
        <v>63</v>
      </c>
      <c r="E40" s="56">
        <v>90000</v>
      </c>
      <c r="F40" s="56">
        <v>110000</v>
      </c>
      <c r="G40" s="56">
        <v>200000</v>
      </c>
      <c r="H40" s="56"/>
    </row>
    <row r="41" spans="1:8" ht="15" customHeight="1" x14ac:dyDescent="0.25">
      <c r="C41" s="4" t="s">
        <v>62</v>
      </c>
      <c r="D41" s="4" t="s">
        <v>64</v>
      </c>
      <c r="E41" s="56">
        <v>75000</v>
      </c>
      <c r="F41" s="56">
        <v>82000</v>
      </c>
      <c r="G41" s="56">
        <v>150000</v>
      </c>
      <c r="H41" s="56"/>
    </row>
    <row r="42" spans="1:8" ht="15" customHeight="1" x14ac:dyDescent="0.25">
      <c r="C42" s="4"/>
      <c r="D42" s="4"/>
      <c r="E42" s="4"/>
      <c r="F42" s="4"/>
      <c r="G42" s="4"/>
      <c r="H42" s="4"/>
    </row>
    <row r="43" spans="1:8" ht="15" customHeight="1" x14ac:dyDescent="0.25">
      <c r="C43" s="4"/>
      <c r="D43" s="4"/>
      <c r="E43" s="4"/>
      <c r="F43" s="4"/>
      <c r="G43" s="4"/>
      <c r="H43" s="4"/>
    </row>
    <row r="44" spans="1:8" ht="15" customHeight="1" x14ac:dyDescent="0.25">
      <c r="C44" s="4"/>
      <c r="D44" s="4"/>
      <c r="E44" s="4"/>
      <c r="F44" s="4"/>
      <c r="G44" s="4"/>
      <c r="H44" s="4"/>
    </row>
    <row r="45" spans="1:8" ht="15" customHeight="1" x14ac:dyDescent="0.25">
      <c r="C45" s="4"/>
      <c r="D45" s="4"/>
      <c r="E45" s="4"/>
      <c r="F45" s="4"/>
      <c r="G45" s="4"/>
      <c r="H45" s="4"/>
    </row>
    <row r="46" spans="1:8" ht="15" customHeight="1" x14ac:dyDescent="0.25">
      <c r="C46" s="4"/>
      <c r="D46" s="4"/>
      <c r="E46" s="4"/>
      <c r="F46" s="4"/>
      <c r="G46" s="4"/>
      <c r="H46" s="4"/>
    </row>
    <row r="47" spans="1:8" ht="15" customHeight="1" x14ac:dyDescent="0.25">
      <c r="A47" s="8" t="s">
        <v>232</v>
      </c>
      <c r="C47" s="4"/>
      <c r="D47" s="4"/>
      <c r="E47" s="4"/>
      <c r="F47" s="4"/>
      <c r="G47" s="4"/>
      <c r="H47" s="4"/>
    </row>
    <row r="48" spans="1:8" ht="15" customHeight="1" x14ac:dyDescent="0.25">
      <c r="A48" s="8" t="s">
        <v>233</v>
      </c>
      <c r="C48" s="4"/>
      <c r="D48" s="4"/>
      <c r="E48" s="4"/>
      <c r="F48" s="4"/>
      <c r="G48" s="4"/>
      <c r="H48" s="4"/>
    </row>
    <row r="49" spans="1:8" ht="15" customHeight="1" x14ac:dyDescent="0.25">
      <c r="A49" s="8" t="s">
        <v>234</v>
      </c>
      <c r="C49" s="4"/>
      <c r="D49" s="4"/>
      <c r="E49" s="4"/>
      <c r="F49" s="4"/>
      <c r="G49" s="4"/>
      <c r="H49" s="4"/>
    </row>
    <row r="50" spans="1:8" ht="15" customHeight="1" x14ac:dyDescent="0.25">
      <c r="A50" s="8" t="s">
        <v>235</v>
      </c>
      <c r="C50" s="4"/>
      <c r="D50" s="4"/>
      <c r="E50" s="4"/>
      <c r="F50" s="4"/>
      <c r="G50" s="4"/>
      <c r="H50" s="4"/>
    </row>
    <row r="51" spans="1:8" ht="15" customHeight="1" x14ac:dyDescent="0.25">
      <c r="A51" s="8" t="s">
        <v>372</v>
      </c>
      <c r="C51" s="4"/>
      <c r="D51" s="4"/>
      <c r="E51" s="4"/>
      <c r="F51" s="4"/>
      <c r="G51" s="4"/>
      <c r="H51" s="4"/>
    </row>
    <row r="52" spans="1:8" ht="15" customHeight="1" x14ac:dyDescent="0.25">
      <c r="A52" s="8" t="s">
        <v>236</v>
      </c>
      <c r="C52" s="4"/>
      <c r="D52" s="4"/>
      <c r="E52" s="4"/>
      <c r="F52" s="4"/>
      <c r="G52" s="4"/>
      <c r="H52" s="4"/>
    </row>
    <row r="53" spans="1:8" ht="15" customHeight="1" x14ac:dyDescent="0.25">
      <c r="A53" s="8" t="s">
        <v>366</v>
      </c>
      <c r="C53" s="58" t="s">
        <v>88</v>
      </c>
      <c r="D53" s="58" t="s">
        <v>93</v>
      </c>
      <c r="E53" s="58" t="s">
        <v>244</v>
      </c>
      <c r="F53" s="4"/>
      <c r="G53" s="4"/>
      <c r="H53" s="4"/>
    </row>
    <row r="54" spans="1:8" ht="15" customHeight="1" x14ac:dyDescent="0.25">
      <c r="A54" s="8" t="s">
        <v>365</v>
      </c>
      <c r="C54" s="29" t="s">
        <v>89</v>
      </c>
      <c r="D54" s="29" t="s">
        <v>241</v>
      </c>
      <c r="E54" s="56">
        <v>1000</v>
      </c>
      <c r="F54" s="4"/>
      <c r="G54" s="4"/>
      <c r="H54" s="4"/>
    </row>
    <row r="55" spans="1:8" ht="15" customHeight="1" x14ac:dyDescent="0.25">
      <c r="A55" s="8" t="s">
        <v>364</v>
      </c>
      <c r="C55" s="29" t="s">
        <v>89</v>
      </c>
      <c r="D55" s="29" t="s">
        <v>47</v>
      </c>
      <c r="E55" s="56">
        <v>2000</v>
      </c>
      <c r="F55" s="4"/>
      <c r="G55" s="4"/>
      <c r="H55" s="4"/>
    </row>
    <row r="56" spans="1:8" ht="15" customHeight="1" x14ac:dyDescent="0.25">
      <c r="A56" s="8" t="s">
        <v>237</v>
      </c>
      <c r="C56" s="29" t="s">
        <v>202</v>
      </c>
      <c r="D56" s="29" t="s">
        <v>53</v>
      </c>
      <c r="E56" s="56">
        <v>3000</v>
      </c>
      <c r="F56" s="4"/>
      <c r="G56" s="4"/>
      <c r="H56" s="4"/>
    </row>
    <row r="57" spans="1:8" ht="15" customHeight="1" x14ac:dyDescent="0.25">
      <c r="A57" s="8" t="s">
        <v>178</v>
      </c>
      <c r="C57" s="29" t="s">
        <v>202</v>
      </c>
      <c r="D57" s="29" t="s">
        <v>205</v>
      </c>
      <c r="E57" s="56">
        <v>1000</v>
      </c>
      <c r="F57" s="4"/>
      <c r="G57" s="4"/>
      <c r="H57" s="4"/>
    </row>
    <row r="58" spans="1:8" ht="15" customHeight="1" x14ac:dyDescent="0.25">
      <c r="C58" s="29" t="s">
        <v>203</v>
      </c>
      <c r="D58" s="29" t="s">
        <v>242</v>
      </c>
      <c r="E58" s="56">
        <v>2000</v>
      </c>
      <c r="F58" s="4"/>
      <c r="G58" s="4"/>
      <c r="H58" s="4"/>
    </row>
    <row r="59" spans="1:8" ht="15" customHeight="1" x14ac:dyDescent="0.25">
      <c r="C59" s="29" t="s">
        <v>203</v>
      </c>
      <c r="D59" s="29" t="s">
        <v>243</v>
      </c>
      <c r="E59" s="56">
        <v>3000</v>
      </c>
    </row>
    <row r="60" spans="1:8" ht="15" customHeight="1" x14ac:dyDescent="0.25">
      <c r="C60" s="29" t="s">
        <v>62</v>
      </c>
      <c r="D60" s="29" t="s">
        <v>63</v>
      </c>
      <c r="E60" s="56">
        <v>4000</v>
      </c>
    </row>
    <row r="61" spans="1:8" ht="15" customHeight="1" x14ac:dyDescent="0.25">
      <c r="C61" s="29" t="s">
        <v>62</v>
      </c>
      <c r="D61" s="29" t="s">
        <v>64</v>
      </c>
      <c r="E61" s="56">
        <v>8000</v>
      </c>
    </row>
    <row r="69" spans="1:8" ht="15" customHeight="1" x14ac:dyDescent="0.25">
      <c r="B69" s="4"/>
      <c r="C69" s="4"/>
      <c r="D69" s="4"/>
      <c r="E69" s="4"/>
      <c r="F69" s="4"/>
      <c r="G69" s="4"/>
      <c r="H69" s="4"/>
    </row>
    <row r="70" spans="1:8" ht="15" customHeight="1" x14ac:dyDescent="0.25">
      <c r="B70" s="4"/>
      <c r="C70" s="4"/>
      <c r="D70" s="4"/>
      <c r="E70" s="4"/>
      <c r="F70" s="4"/>
      <c r="G70" s="4"/>
      <c r="H70" s="4"/>
    </row>
    <row r="71" spans="1:8" ht="15" customHeight="1" x14ac:dyDescent="0.25">
      <c r="B71" s="4"/>
      <c r="C71" s="4"/>
      <c r="D71" s="4"/>
      <c r="E71" s="4"/>
      <c r="F71" s="4"/>
      <c r="G71" s="4"/>
      <c r="H71" s="4"/>
    </row>
    <row r="72" spans="1:8" ht="15" customHeight="1" x14ac:dyDescent="0.25">
      <c r="A72" s="8" t="s">
        <v>41</v>
      </c>
      <c r="B72" s="4"/>
      <c r="C72" s="4"/>
      <c r="D72" s="4"/>
      <c r="E72" s="4"/>
      <c r="F72" s="4"/>
      <c r="G72" s="4"/>
      <c r="H72" s="4"/>
    </row>
    <row r="73" spans="1:8" ht="15" customHeight="1" x14ac:dyDescent="0.25">
      <c r="A73" s="8" t="s">
        <v>238</v>
      </c>
      <c r="B73" s="4"/>
      <c r="C73" s="4"/>
      <c r="D73" s="4"/>
      <c r="E73" s="4"/>
      <c r="F73" s="4"/>
      <c r="G73" s="4"/>
      <c r="H73" s="4"/>
    </row>
    <row r="74" spans="1:8" ht="15" customHeight="1" x14ac:dyDescent="0.25">
      <c r="A74" s="8" t="s">
        <v>239</v>
      </c>
      <c r="B74" s="4"/>
      <c r="C74" s="4"/>
      <c r="D74" s="4"/>
      <c r="E74" s="4"/>
      <c r="F74" s="4"/>
      <c r="G74" s="4"/>
      <c r="H74" s="4"/>
    </row>
    <row r="75" spans="1:8" ht="15" customHeight="1" x14ac:dyDescent="0.25">
      <c r="A75" s="8" t="s">
        <v>240</v>
      </c>
      <c r="B75" s="4"/>
      <c r="C75" s="4"/>
      <c r="D75" s="4"/>
      <c r="E75" s="4"/>
      <c r="F75" s="4"/>
      <c r="G75" s="4"/>
      <c r="H75" s="4"/>
    </row>
    <row r="76" spans="1:8" ht="15" customHeight="1" x14ac:dyDescent="0.25">
      <c r="A76" s="8" t="s">
        <v>86</v>
      </c>
      <c r="B76" s="4"/>
      <c r="C76" s="4"/>
      <c r="D76" s="4"/>
      <c r="E76" s="4"/>
      <c r="F76" s="4"/>
      <c r="G76" s="4"/>
      <c r="H76" s="4"/>
    </row>
  </sheetData>
  <phoneticPr fontId="22" type="noConversion"/>
  <hyperlinks>
    <hyperlink ref="A75" r:id="rId1" tooltip="選取以從 Web 了解如何使用 Excel 表格中的計算結果欄" xr:uid="{00000000-0004-0000-0600-000000000000}"/>
    <hyperlink ref="A74" r:id="rId2" tooltip="選取以從 Web 了解如何合計 Excel 表格中的資料" xr:uid="{00000000-0004-0000-0600-000001000000}"/>
    <hyperlink ref="A73" r:id="rId3" tooltip="選取以從 Web 了解 Excel 表格概觀" xr:uid="{00000000-0004-0000-0600-000002000000}"/>
  </hyperlinks>
  <pageMargins left="0.7" right="0.7" top="0.75" bottom="0.75" header="0.3" footer="0.3"/>
  <pageSetup paperSize="9" orientation="portrait" r:id="rId4"/>
  <drawing r:id="rId5"/>
  <tableParts count="2">
    <tablePart r:id="rId6"/>
    <tablePart r:id="rId7"/>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63"/>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4" width="11.77734375" style="13" customWidth="1"/>
    <col min="5" max="5" width="13.88671875" style="13" customWidth="1"/>
    <col min="6" max="6" width="7.5546875" style="13" customWidth="1"/>
    <col min="7" max="16384" width="8.88671875" style="13"/>
  </cols>
  <sheetData>
    <row r="1" spans="1:6" ht="60" customHeight="1" x14ac:dyDescent="0.25">
      <c r="A1" s="8" t="s">
        <v>246</v>
      </c>
      <c r="C1" s="4"/>
      <c r="D1" s="4"/>
      <c r="E1" s="4"/>
      <c r="F1" s="4"/>
    </row>
    <row r="2" spans="1:6" ht="15" customHeight="1" x14ac:dyDescent="0.25">
      <c r="A2" s="8" t="s">
        <v>247</v>
      </c>
      <c r="C2" s="4"/>
      <c r="D2" s="4"/>
      <c r="E2" s="4"/>
      <c r="F2" s="4"/>
    </row>
    <row r="3" spans="1:6" ht="15" customHeight="1" x14ac:dyDescent="0.25">
      <c r="A3" s="8" t="s">
        <v>248</v>
      </c>
      <c r="C3" s="20" t="s">
        <v>268</v>
      </c>
      <c r="D3" s="20" t="s">
        <v>88</v>
      </c>
      <c r="E3" s="4"/>
      <c r="F3" s="4"/>
    </row>
    <row r="4" spans="1:6" ht="15" customHeight="1" x14ac:dyDescent="0.25">
      <c r="A4" s="8" t="s">
        <v>249</v>
      </c>
      <c r="C4" s="21" t="s">
        <v>48</v>
      </c>
      <c r="D4" s="22"/>
      <c r="E4" s="4"/>
      <c r="F4" s="4"/>
    </row>
    <row r="5" spans="1:6" s="16" customFormat="1" ht="15" customHeight="1" x14ac:dyDescent="0.25">
      <c r="A5" s="8" t="s">
        <v>250</v>
      </c>
      <c r="B5" s="4"/>
      <c r="C5" s="21" t="s">
        <v>63</v>
      </c>
      <c r="D5" s="22"/>
      <c r="F5" s="4"/>
    </row>
    <row r="6" spans="1:6" s="16" customFormat="1" ht="15" customHeight="1" x14ac:dyDescent="0.25">
      <c r="A6" s="8" t="s">
        <v>367</v>
      </c>
      <c r="B6" s="4"/>
      <c r="C6" s="21" t="s">
        <v>50</v>
      </c>
      <c r="D6" s="22"/>
      <c r="F6" s="4"/>
    </row>
    <row r="7" spans="1:6" s="16" customFormat="1" ht="15" customHeight="1" x14ac:dyDescent="0.25">
      <c r="A7" s="8" t="s">
        <v>251</v>
      </c>
      <c r="B7" s="4"/>
      <c r="C7" s="21" t="s">
        <v>51</v>
      </c>
      <c r="D7" s="22"/>
      <c r="F7" s="4"/>
    </row>
    <row r="8" spans="1:6" s="16" customFormat="1" ht="15" customHeight="1" x14ac:dyDescent="0.25">
      <c r="A8" s="8" t="s">
        <v>252</v>
      </c>
      <c r="B8" s="4"/>
      <c r="C8" s="21" t="s">
        <v>269</v>
      </c>
      <c r="D8" s="22"/>
      <c r="F8" s="4"/>
    </row>
    <row r="9" spans="1:6" s="16" customFormat="1" ht="15" customHeight="1" x14ac:dyDescent="0.25">
      <c r="A9" s="8" t="s">
        <v>253</v>
      </c>
      <c r="B9" s="4"/>
      <c r="C9" s="21" t="s">
        <v>270</v>
      </c>
      <c r="D9" s="22"/>
      <c r="F9" s="4"/>
    </row>
    <row r="10" spans="1:6" s="16" customFormat="1" ht="15" customHeight="1" x14ac:dyDescent="0.25">
      <c r="A10" s="8" t="s">
        <v>15</v>
      </c>
      <c r="B10" s="4"/>
      <c r="C10" s="21" t="s">
        <v>271</v>
      </c>
      <c r="D10" s="22"/>
      <c r="F10" s="4"/>
    </row>
    <row r="11" spans="1:6" s="16" customFormat="1" ht="15" customHeight="1" x14ac:dyDescent="0.25">
      <c r="A11" s="8"/>
      <c r="B11" s="4"/>
      <c r="C11" s="21" t="s">
        <v>53</v>
      </c>
      <c r="D11" s="22"/>
      <c r="F11" s="4"/>
    </row>
    <row r="12" spans="1:6" s="16" customFormat="1" ht="15" customHeight="1" x14ac:dyDescent="0.25">
      <c r="A12" s="8"/>
      <c r="B12" s="4"/>
      <c r="C12" s="21" t="s">
        <v>64</v>
      </c>
      <c r="D12" s="22"/>
      <c r="F12" s="4"/>
    </row>
    <row r="13" spans="1:6" s="16" customFormat="1" ht="15" customHeight="1" x14ac:dyDescent="0.25">
      <c r="A13" s="8"/>
      <c r="B13" s="4"/>
      <c r="C13" s="21" t="s">
        <v>55</v>
      </c>
      <c r="D13" s="22"/>
      <c r="F13" s="4"/>
    </row>
    <row r="14" spans="1:6" s="16" customFormat="1" ht="15" customHeight="1" x14ac:dyDescent="0.25">
      <c r="A14" s="8"/>
      <c r="B14" s="4"/>
      <c r="C14" s="21" t="s">
        <v>56</v>
      </c>
      <c r="D14" s="22"/>
      <c r="F14" s="4"/>
    </row>
    <row r="15" spans="1:6" s="16" customFormat="1" ht="15" customHeight="1" x14ac:dyDescent="0.25">
      <c r="A15" s="8"/>
      <c r="B15" s="4"/>
      <c r="C15" s="21" t="s">
        <v>57</v>
      </c>
      <c r="D15" s="22"/>
      <c r="F15" s="4"/>
    </row>
    <row r="16" spans="1:6" s="16" customFormat="1" ht="15" customHeight="1" x14ac:dyDescent="0.25">
      <c r="A16" s="8"/>
      <c r="B16" s="4"/>
    </row>
    <row r="17" spans="1:6" s="16" customFormat="1" ht="15" customHeight="1" x14ac:dyDescent="0.25">
      <c r="A17" s="8"/>
      <c r="B17" s="4"/>
    </row>
    <row r="18" spans="1:6" s="16" customFormat="1" ht="15" customHeight="1" x14ac:dyDescent="0.25">
      <c r="A18" s="8"/>
      <c r="B18" s="4"/>
      <c r="C18" s="4"/>
      <c r="D18" s="4"/>
      <c r="E18" s="4"/>
      <c r="F18" s="4"/>
    </row>
    <row r="19" spans="1:6" s="16" customFormat="1" ht="15" customHeight="1" x14ac:dyDescent="0.25">
      <c r="A19" s="8"/>
      <c r="B19" s="4"/>
      <c r="C19" s="4"/>
      <c r="D19" s="4"/>
      <c r="E19" s="4"/>
      <c r="F19" s="4"/>
    </row>
    <row r="20" spans="1:6" s="16" customFormat="1" ht="15" customHeight="1" x14ac:dyDescent="0.25">
      <c r="A20" s="8"/>
      <c r="B20" s="4"/>
      <c r="C20" s="4"/>
      <c r="D20" s="4"/>
      <c r="E20" s="4"/>
      <c r="F20" s="4"/>
    </row>
    <row r="21" spans="1:6" s="16" customFormat="1" ht="15" customHeight="1" x14ac:dyDescent="0.25">
      <c r="A21" s="8"/>
      <c r="B21" s="4"/>
      <c r="C21" s="4"/>
      <c r="D21" s="4"/>
      <c r="E21" s="4"/>
      <c r="F21" s="4"/>
    </row>
    <row r="22" spans="1:6" s="16" customFormat="1" ht="15" customHeight="1" x14ac:dyDescent="0.25">
      <c r="A22" s="8"/>
      <c r="B22" s="4"/>
    </row>
    <row r="23" spans="1:6" s="16" customFormat="1" ht="15" customHeight="1" x14ac:dyDescent="0.25">
      <c r="A23" s="8"/>
      <c r="B23" s="4"/>
    </row>
    <row r="24" spans="1:6" s="16" customFormat="1" ht="15" customHeight="1" x14ac:dyDescent="0.25">
      <c r="A24" s="8"/>
      <c r="B24" s="4"/>
    </row>
    <row r="27" spans="1:6" ht="15" customHeight="1" x14ac:dyDescent="0.25">
      <c r="A27" s="8" t="s">
        <v>254</v>
      </c>
    </row>
    <row r="28" spans="1:6" ht="15" customHeight="1" x14ac:dyDescent="0.25">
      <c r="A28" s="8" t="s">
        <v>255</v>
      </c>
    </row>
    <row r="29" spans="1:6" ht="15" customHeight="1" x14ac:dyDescent="0.25">
      <c r="A29" s="8" t="s">
        <v>256</v>
      </c>
      <c r="C29" s="4"/>
      <c r="D29" s="4"/>
      <c r="E29" s="4"/>
      <c r="F29" s="4"/>
    </row>
    <row r="30" spans="1:6" ht="15" customHeight="1" x14ac:dyDescent="0.25">
      <c r="A30" s="8" t="s">
        <v>257</v>
      </c>
      <c r="C30" s="4"/>
      <c r="D30" s="4"/>
      <c r="F30" s="4"/>
    </row>
    <row r="31" spans="1:6" ht="15" customHeight="1" x14ac:dyDescent="0.25">
      <c r="A31" s="8" t="s">
        <v>258</v>
      </c>
      <c r="C31" s="20" t="s">
        <v>268</v>
      </c>
      <c r="D31" s="20" t="s">
        <v>88</v>
      </c>
      <c r="F31" s="23" t="s">
        <v>88</v>
      </c>
    </row>
    <row r="32" spans="1:6" ht="15" customHeight="1" x14ac:dyDescent="0.25">
      <c r="A32" s="8" t="s">
        <v>259</v>
      </c>
      <c r="C32" s="21" t="s">
        <v>48</v>
      </c>
      <c r="D32" s="21"/>
      <c r="F32" s="24" t="s">
        <v>89</v>
      </c>
    </row>
    <row r="33" spans="1:6" ht="15" customHeight="1" x14ac:dyDescent="0.25">
      <c r="A33" s="8" t="s">
        <v>260</v>
      </c>
      <c r="C33" s="21" t="s">
        <v>63</v>
      </c>
      <c r="D33" s="21"/>
      <c r="F33" s="21" t="s">
        <v>62</v>
      </c>
    </row>
    <row r="34" spans="1:6" ht="15" customHeight="1" x14ac:dyDescent="0.25">
      <c r="A34" s="8" t="s">
        <v>261</v>
      </c>
      <c r="C34" s="21" t="s">
        <v>50</v>
      </c>
      <c r="D34" s="21"/>
      <c r="F34" s="24" t="s">
        <v>202</v>
      </c>
    </row>
    <row r="35" spans="1:6" ht="15" customHeight="1" x14ac:dyDescent="0.25">
      <c r="A35" s="8" t="s">
        <v>262</v>
      </c>
      <c r="C35" s="21" t="s">
        <v>51</v>
      </c>
      <c r="D35" s="21"/>
      <c r="F35" s="4"/>
    </row>
    <row r="36" spans="1:6" ht="15" customHeight="1" x14ac:dyDescent="0.25">
      <c r="A36" s="8" t="s">
        <v>263</v>
      </c>
      <c r="C36" s="21" t="s">
        <v>269</v>
      </c>
      <c r="D36" s="21"/>
      <c r="E36" s="4"/>
      <c r="F36" s="4"/>
    </row>
    <row r="37" spans="1:6" ht="15" customHeight="1" x14ac:dyDescent="0.25">
      <c r="A37" s="8" t="s">
        <v>264</v>
      </c>
      <c r="C37" s="21" t="s">
        <v>270</v>
      </c>
      <c r="D37" s="21"/>
      <c r="E37" s="4"/>
      <c r="F37" s="4"/>
    </row>
    <row r="38" spans="1:6" ht="15" customHeight="1" x14ac:dyDescent="0.25">
      <c r="A38" s="8" t="s">
        <v>265</v>
      </c>
      <c r="C38" s="21" t="s">
        <v>271</v>
      </c>
      <c r="D38" s="21"/>
      <c r="E38" s="4"/>
      <c r="F38" s="4"/>
    </row>
    <row r="39" spans="1:6" ht="15" customHeight="1" x14ac:dyDescent="0.25">
      <c r="C39" s="21" t="s">
        <v>53</v>
      </c>
      <c r="D39" s="21"/>
      <c r="E39" s="4"/>
      <c r="F39" s="4"/>
    </row>
    <row r="40" spans="1:6" ht="15" customHeight="1" x14ac:dyDescent="0.25">
      <c r="C40" s="21" t="s">
        <v>64</v>
      </c>
      <c r="D40" s="21"/>
      <c r="E40" s="4"/>
      <c r="F40" s="4"/>
    </row>
    <row r="41" spans="1:6" ht="15" customHeight="1" x14ac:dyDescent="0.25">
      <c r="C41" s="21" t="s">
        <v>55</v>
      </c>
      <c r="D41" s="21"/>
      <c r="E41" s="4"/>
      <c r="F41" s="4"/>
    </row>
    <row r="42" spans="1:6" ht="15" customHeight="1" x14ac:dyDescent="0.25">
      <c r="C42" s="21" t="s">
        <v>56</v>
      </c>
      <c r="D42" s="21"/>
      <c r="E42" s="4"/>
      <c r="F42" s="4"/>
    </row>
    <row r="43" spans="1:6" ht="15" customHeight="1" x14ac:dyDescent="0.25">
      <c r="C43" s="21" t="s">
        <v>57</v>
      </c>
      <c r="D43" s="21"/>
      <c r="E43" s="4"/>
      <c r="F43" s="4"/>
    </row>
    <row r="44" spans="1:6" ht="15" customHeight="1" x14ac:dyDescent="0.25">
      <c r="D44" s="4"/>
      <c r="E44" s="4"/>
      <c r="F44" s="4"/>
    </row>
    <row r="45" spans="1:6" ht="15" customHeight="1" x14ac:dyDescent="0.25">
      <c r="C45" s="4"/>
      <c r="D45" s="4"/>
      <c r="E45" s="4"/>
      <c r="F45" s="4"/>
    </row>
    <row r="46" spans="1:6" ht="15" customHeight="1" x14ac:dyDescent="0.25">
      <c r="C46" s="4"/>
      <c r="D46" s="4"/>
      <c r="E46" s="4"/>
      <c r="F46" s="4"/>
    </row>
    <row r="47" spans="1:6" ht="15" customHeight="1" x14ac:dyDescent="0.25">
      <c r="C47" s="4"/>
      <c r="D47" s="4"/>
      <c r="E47" s="4"/>
      <c r="F47" s="4"/>
    </row>
    <row r="48" spans="1:6" ht="15" customHeight="1" x14ac:dyDescent="0.25">
      <c r="C48" s="4"/>
      <c r="D48" s="4"/>
      <c r="E48" s="4"/>
      <c r="F48" s="4"/>
    </row>
    <row r="49" spans="1:6" ht="15" customHeight="1" x14ac:dyDescent="0.25">
      <c r="C49" s="4"/>
      <c r="D49" s="4"/>
      <c r="E49" s="4"/>
      <c r="F49" s="4"/>
    </row>
    <row r="50" spans="1:6" ht="15" customHeight="1" x14ac:dyDescent="0.25">
      <c r="C50" s="4"/>
      <c r="D50" s="4"/>
      <c r="E50" s="4"/>
      <c r="F50" s="4"/>
    </row>
    <row r="51" spans="1:6" ht="15" customHeight="1" x14ac:dyDescent="0.25">
      <c r="C51" s="4"/>
      <c r="D51" s="4"/>
      <c r="E51" s="4"/>
      <c r="F51" s="4"/>
    </row>
    <row r="52" spans="1:6" ht="15" customHeight="1" x14ac:dyDescent="0.25">
      <c r="C52" s="4"/>
      <c r="D52" s="4"/>
      <c r="E52" s="4"/>
      <c r="F52" s="4"/>
    </row>
    <row r="53" spans="1:6" ht="15" customHeight="1" x14ac:dyDescent="0.25">
      <c r="C53" s="4"/>
      <c r="D53" s="4"/>
      <c r="E53" s="4"/>
      <c r="F53" s="4"/>
    </row>
    <row r="54" spans="1:6" ht="15" customHeight="1" x14ac:dyDescent="0.25">
      <c r="C54" s="4"/>
      <c r="D54" s="4"/>
      <c r="E54" s="4"/>
      <c r="F54" s="4"/>
    </row>
    <row r="55" spans="1:6" ht="15" customHeight="1" x14ac:dyDescent="0.25">
      <c r="C55" s="4"/>
      <c r="D55" s="4"/>
      <c r="E55" s="4"/>
      <c r="F55" s="4"/>
    </row>
    <row r="56" spans="1:6" ht="15" customHeight="1" x14ac:dyDescent="0.25">
      <c r="C56" s="4"/>
      <c r="D56" s="4"/>
      <c r="E56" s="4"/>
      <c r="F56" s="4"/>
    </row>
    <row r="57" spans="1:6" ht="15" customHeight="1" x14ac:dyDescent="0.25">
      <c r="C57" s="4"/>
      <c r="D57" s="4"/>
      <c r="E57" s="4"/>
      <c r="F57" s="4"/>
    </row>
    <row r="60" spans="1:6" ht="15" customHeight="1" x14ac:dyDescent="0.25">
      <c r="A60" s="8" t="s">
        <v>41</v>
      </c>
      <c r="C60" s="4"/>
      <c r="D60" s="4"/>
      <c r="E60" s="4"/>
      <c r="F60" s="4"/>
    </row>
    <row r="61" spans="1:6" ht="15" customHeight="1" x14ac:dyDescent="0.25">
      <c r="A61" s="8" t="s">
        <v>266</v>
      </c>
      <c r="C61" s="4"/>
      <c r="D61" s="4"/>
      <c r="E61" s="4"/>
      <c r="F61" s="4"/>
    </row>
    <row r="62" spans="1:6" ht="15" customHeight="1" x14ac:dyDescent="0.25">
      <c r="A62" s="8" t="s">
        <v>267</v>
      </c>
      <c r="C62" s="4"/>
      <c r="D62" s="4"/>
      <c r="E62" s="4"/>
      <c r="F62" s="4"/>
    </row>
    <row r="63" spans="1:6" ht="15" customHeight="1" x14ac:dyDescent="0.25">
      <c r="A63" s="8" t="s">
        <v>86</v>
      </c>
      <c r="C63" s="4"/>
      <c r="D63" s="4"/>
      <c r="E63" s="4"/>
      <c r="F63" s="4"/>
    </row>
  </sheetData>
  <phoneticPr fontId="22" type="noConversion"/>
  <hyperlinks>
    <hyperlink ref="A62" r:id="rId1" tooltip="選取以從 Web 了解如何建立下拉式清單" xr:uid="{00000000-0004-0000-0700-000000000000}"/>
    <hyperlink ref="A61" r:id="rId2" tooltip="選取以從 Web 了解如何將資料驗證套用到儲存格" xr:uid="{00000000-0004-0000-0700-000001000000}"/>
  </hyperlinks>
  <pageMargins left="0.7" right="0.7" top="0.75" bottom="0.75" header="0.3" footer="0.3"/>
  <pageSetup paperSize="9" orientation="portrait" r:id="rId3"/>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G71"/>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3" width="13.88671875" style="13" customWidth="1"/>
    <col min="4" max="4" width="11.109375" style="13" customWidth="1"/>
    <col min="5" max="5" width="10.88671875" style="13" customWidth="1"/>
    <col min="6" max="7" width="11.88671875" style="13" customWidth="1"/>
    <col min="8" max="16384" width="8.88671875" style="13"/>
  </cols>
  <sheetData>
    <row r="1" spans="1:7" ht="60" customHeight="1" x14ac:dyDescent="0.25">
      <c r="A1" s="8" t="s">
        <v>272</v>
      </c>
      <c r="C1" s="4"/>
      <c r="D1" s="4"/>
      <c r="E1" s="4"/>
      <c r="F1" s="4"/>
      <c r="G1" s="4"/>
    </row>
    <row r="2" spans="1:7" ht="15" customHeight="1" x14ac:dyDescent="0.25">
      <c r="A2" s="8" t="s">
        <v>273</v>
      </c>
      <c r="C2" s="4"/>
      <c r="D2" s="4"/>
      <c r="E2" s="4"/>
      <c r="F2" s="4"/>
      <c r="G2" s="4"/>
    </row>
    <row r="3" spans="1:7" ht="15" customHeight="1" x14ac:dyDescent="0.25">
      <c r="A3" s="8" t="s">
        <v>274</v>
      </c>
      <c r="C3" s="4"/>
      <c r="D3" s="4"/>
      <c r="E3" s="4"/>
      <c r="F3" s="4"/>
      <c r="G3" s="4"/>
    </row>
    <row r="4" spans="1:7" ht="15" customHeight="1" x14ac:dyDescent="0.25">
      <c r="A4" s="8" t="s">
        <v>275</v>
      </c>
      <c r="C4" s="4"/>
      <c r="D4" s="4"/>
      <c r="E4" s="4"/>
      <c r="F4" s="4"/>
      <c r="G4" s="4"/>
    </row>
    <row r="5" spans="1:7" s="16" customFormat="1" ht="15" customHeight="1" x14ac:dyDescent="0.25">
      <c r="A5" s="8" t="s">
        <v>276</v>
      </c>
      <c r="B5" s="4"/>
      <c r="C5" s="4" t="s">
        <v>88</v>
      </c>
      <c r="D5" s="4" t="s">
        <v>93</v>
      </c>
      <c r="E5" s="4" t="s">
        <v>213</v>
      </c>
      <c r="F5" s="4" t="s">
        <v>215</v>
      </c>
      <c r="G5" s="4" t="s">
        <v>217</v>
      </c>
    </row>
    <row r="6" spans="1:7" s="16" customFormat="1" ht="15" customHeight="1" x14ac:dyDescent="0.25">
      <c r="A6" s="8" t="s">
        <v>277</v>
      </c>
      <c r="B6" s="4"/>
      <c r="C6" s="4" t="s">
        <v>89</v>
      </c>
      <c r="D6" s="4" t="s">
        <v>241</v>
      </c>
      <c r="E6" s="56">
        <v>30000</v>
      </c>
      <c r="F6" s="56">
        <v>80000</v>
      </c>
      <c r="G6" s="56">
        <v>30000</v>
      </c>
    </row>
    <row r="7" spans="1:7" s="16" customFormat="1" ht="15" customHeight="1" x14ac:dyDescent="0.25">
      <c r="A7" s="8" t="s">
        <v>278</v>
      </c>
      <c r="B7" s="4"/>
      <c r="C7" s="4" t="s">
        <v>89</v>
      </c>
      <c r="D7" s="4" t="s">
        <v>47</v>
      </c>
      <c r="E7" s="56">
        <v>10000</v>
      </c>
      <c r="F7" s="56">
        <v>30000</v>
      </c>
      <c r="G7" s="56">
        <v>40000</v>
      </c>
    </row>
    <row r="8" spans="1:7" s="16" customFormat="1" ht="15" customHeight="1" x14ac:dyDescent="0.25">
      <c r="A8" s="8" t="s">
        <v>279</v>
      </c>
      <c r="B8" s="4"/>
      <c r="C8" s="4" t="s">
        <v>202</v>
      </c>
      <c r="D8" s="4" t="s">
        <v>53</v>
      </c>
      <c r="E8" s="56">
        <v>30000</v>
      </c>
      <c r="F8" s="56">
        <v>15000</v>
      </c>
      <c r="G8" s="56">
        <v>20000</v>
      </c>
    </row>
    <row r="9" spans="1:7" s="16" customFormat="1" ht="15" customHeight="1" x14ac:dyDescent="0.25">
      <c r="A9" s="8" t="s">
        <v>280</v>
      </c>
      <c r="B9" s="4"/>
      <c r="C9" s="4" t="s">
        <v>202</v>
      </c>
      <c r="D9" s="4" t="s">
        <v>205</v>
      </c>
      <c r="E9" s="56">
        <v>25000</v>
      </c>
      <c r="F9" s="56">
        <v>80000</v>
      </c>
      <c r="G9" s="56">
        <v>120000</v>
      </c>
    </row>
    <row r="10" spans="1:7" s="16" customFormat="1" ht="15" customHeight="1" x14ac:dyDescent="0.25">
      <c r="A10" s="8" t="s">
        <v>15</v>
      </c>
      <c r="B10" s="4"/>
      <c r="C10" s="4" t="s">
        <v>203</v>
      </c>
      <c r="D10" s="4" t="s">
        <v>242</v>
      </c>
      <c r="E10" s="56">
        <v>80000</v>
      </c>
      <c r="F10" s="56">
        <v>40000</v>
      </c>
      <c r="G10" s="56">
        <v>20000</v>
      </c>
    </row>
    <row r="11" spans="1:7" s="16" customFormat="1" ht="15" customHeight="1" x14ac:dyDescent="0.25">
      <c r="A11" s="8"/>
      <c r="B11" s="4"/>
      <c r="C11" s="4" t="s">
        <v>203</v>
      </c>
      <c r="D11" s="4" t="s">
        <v>243</v>
      </c>
      <c r="E11" s="56">
        <v>90000</v>
      </c>
      <c r="F11" s="56">
        <v>35000</v>
      </c>
      <c r="G11" s="56">
        <v>25000</v>
      </c>
    </row>
    <row r="12" spans="1:7" s="16" customFormat="1" ht="15" customHeight="1" x14ac:dyDescent="0.25">
      <c r="A12" s="8"/>
      <c r="B12" s="4"/>
      <c r="C12" s="4" t="s">
        <v>62</v>
      </c>
      <c r="D12" s="4" t="s">
        <v>63</v>
      </c>
      <c r="E12" s="56">
        <v>90000</v>
      </c>
      <c r="F12" s="56">
        <v>110000</v>
      </c>
      <c r="G12" s="56">
        <v>200000</v>
      </c>
    </row>
    <row r="13" spans="1:7" s="16" customFormat="1" ht="15" customHeight="1" x14ac:dyDescent="0.25">
      <c r="A13" s="8"/>
      <c r="B13" s="4"/>
      <c r="C13" s="4" t="s">
        <v>62</v>
      </c>
      <c r="D13" s="4" t="s">
        <v>64</v>
      </c>
      <c r="E13" s="56">
        <v>75000</v>
      </c>
      <c r="F13" s="56">
        <v>82000</v>
      </c>
      <c r="G13" s="56">
        <v>150000</v>
      </c>
    </row>
    <row r="14" spans="1:7" s="16" customFormat="1" ht="15" customHeight="1" x14ac:dyDescent="0.25">
      <c r="A14" s="8"/>
      <c r="B14" s="4"/>
      <c r="C14" s="4"/>
      <c r="D14" s="4"/>
      <c r="E14" s="4"/>
      <c r="F14" s="4"/>
      <c r="G14" s="4"/>
    </row>
    <row r="15" spans="1:7" s="16" customFormat="1" ht="15" customHeight="1" x14ac:dyDescent="0.25">
      <c r="A15" s="8"/>
      <c r="B15" s="4"/>
      <c r="C15" s="4"/>
      <c r="D15" s="4"/>
      <c r="E15" s="4"/>
      <c r="F15" s="4"/>
      <c r="G15" s="4"/>
    </row>
    <row r="16" spans="1:7" s="16" customFormat="1" ht="15" customHeight="1" x14ac:dyDescent="0.25">
      <c r="A16" s="8"/>
      <c r="B16" s="4"/>
      <c r="C16" s="4"/>
      <c r="D16" s="4"/>
      <c r="E16" s="4"/>
      <c r="F16" s="4"/>
      <c r="G16" s="4"/>
    </row>
    <row r="17" spans="1:7" s="16" customFormat="1" ht="15" customHeight="1" x14ac:dyDescent="0.25">
      <c r="A17" s="8"/>
      <c r="B17" s="4"/>
      <c r="C17" s="4"/>
      <c r="D17" s="4"/>
      <c r="E17" s="4"/>
      <c r="F17" s="4"/>
      <c r="G17" s="4"/>
    </row>
    <row r="18" spans="1:7" s="16" customFormat="1" ht="15" customHeight="1" x14ac:dyDescent="0.25">
      <c r="A18" s="8"/>
      <c r="B18" s="4"/>
      <c r="C18" s="4"/>
      <c r="D18" s="4"/>
      <c r="E18" s="4"/>
      <c r="F18" s="4"/>
      <c r="G18" s="4"/>
    </row>
    <row r="19" spans="1:7" s="16" customFormat="1" ht="15" customHeight="1" x14ac:dyDescent="0.25">
      <c r="A19" s="8"/>
      <c r="B19" s="4"/>
      <c r="C19" s="4"/>
      <c r="D19" s="4"/>
      <c r="E19" s="4"/>
      <c r="F19" s="4"/>
      <c r="G19" s="4"/>
    </row>
    <row r="20" spans="1:7" s="16" customFormat="1" ht="15" customHeight="1" x14ac:dyDescent="0.25">
      <c r="A20" s="8"/>
      <c r="B20" s="4"/>
      <c r="C20" s="4"/>
      <c r="D20" s="4"/>
      <c r="E20" s="4"/>
      <c r="F20" s="4"/>
      <c r="G20" s="4"/>
    </row>
    <row r="21" spans="1:7" s="16" customFormat="1" ht="15" customHeight="1" x14ac:dyDescent="0.25">
      <c r="A21" s="8"/>
      <c r="B21" s="4"/>
      <c r="C21" s="4"/>
      <c r="D21" s="4"/>
      <c r="E21" s="4"/>
      <c r="F21" s="4"/>
      <c r="G21" s="4"/>
    </row>
    <row r="22" spans="1:7" s="16" customFormat="1" ht="15" customHeight="1" x14ac:dyDescent="0.25">
      <c r="A22" s="8"/>
      <c r="B22" s="4"/>
    </row>
    <row r="23" spans="1:7" s="16" customFormat="1" ht="15" customHeight="1" x14ac:dyDescent="0.25">
      <c r="A23" s="8"/>
      <c r="B23" s="4"/>
    </row>
    <row r="24" spans="1:7" s="16" customFormat="1" ht="15" customHeight="1" x14ac:dyDescent="0.25">
      <c r="A24" s="8"/>
      <c r="B24" s="4"/>
    </row>
    <row r="27" spans="1:7" ht="15" customHeight="1" x14ac:dyDescent="0.25">
      <c r="A27" s="8" t="s">
        <v>281</v>
      </c>
      <c r="C27" s="4"/>
      <c r="D27" s="4"/>
      <c r="E27" s="4"/>
      <c r="F27" s="4"/>
      <c r="G27" s="4"/>
    </row>
    <row r="28" spans="1:7" ht="15" customHeight="1" x14ac:dyDescent="0.25">
      <c r="A28" s="8" t="s">
        <v>282</v>
      </c>
      <c r="C28" s="4"/>
      <c r="D28" s="4"/>
      <c r="E28" s="4"/>
      <c r="F28" s="4"/>
      <c r="G28" s="4"/>
    </row>
    <row r="29" spans="1:7" ht="15" customHeight="1" x14ac:dyDescent="0.25">
      <c r="A29" s="8" t="s">
        <v>283</v>
      </c>
      <c r="C29" s="4"/>
      <c r="D29" s="4"/>
      <c r="E29" s="4"/>
      <c r="F29" s="4"/>
      <c r="G29" s="4"/>
    </row>
    <row r="30" spans="1:7" ht="15" customHeight="1" x14ac:dyDescent="0.25">
      <c r="A30" s="8" t="s">
        <v>284</v>
      </c>
      <c r="C30" s="4"/>
      <c r="D30" s="4"/>
      <c r="E30" s="4"/>
      <c r="F30" s="4"/>
      <c r="G30" s="4"/>
    </row>
    <row r="31" spans="1:7" ht="15" customHeight="1" x14ac:dyDescent="0.25">
      <c r="A31" s="8" t="s">
        <v>285</v>
      </c>
    </row>
    <row r="32" spans="1:7" ht="15" customHeight="1" x14ac:dyDescent="0.25">
      <c r="A32" s="8" t="s">
        <v>286</v>
      </c>
      <c r="C32" s="4"/>
      <c r="D32" s="4"/>
      <c r="E32" s="4"/>
      <c r="F32" s="4"/>
      <c r="G32" s="4"/>
    </row>
    <row r="33" spans="1:7" ht="15" customHeight="1" x14ac:dyDescent="0.25">
      <c r="A33" s="8" t="s">
        <v>287</v>
      </c>
    </row>
    <row r="34" spans="1:7" ht="15" customHeight="1" x14ac:dyDescent="0.25">
      <c r="A34" s="8" t="s">
        <v>231</v>
      </c>
      <c r="C34" s="4" t="s">
        <v>88</v>
      </c>
      <c r="D34" s="4" t="s">
        <v>93</v>
      </c>
      <c r="E34" s="4" t="s">
        <v>213</v>
      </c>
      <c r="F34" s="4" t="s">
        <v>215</v>
      </c>
      <c r="G34" s="4" t="s">
        <v>217</v>
      </c>
    </row>
    <row r="35" spans="1:7" ht="15" customHeight="1" x14ac:dyDescent="0.25">
      <c r="C35" s="4" t="s">
        <v>202</v>
      </c>
      <c r="D35" s="4" t="s">
        <v>53</v>
      </c>
      <c r="E35" s="56">
        <v>30000</v>
      </c>
      <c r="F35" s="56">
        <v>15000</v>
      </c>
      <c r="G35" s="56">
        <v>20000</v>
      </c>
    </row>
    <row r="36" spans="1:7" ht="15" customHeight="1" x14ac:dyDescent="0.25">
      <c r="C36" s="4" t="s">
        <v>202</v>
      </c>
      <c r="D36" s="4" t="s">
        <v>205</v>
      </c>
      <c r="E36" s="56">
        <v>25000</v>
      </c>
      <c r="F36" s="56">
        <v>80000</v>
      </c>
      <c r="G36" s="56">
        <v>120000</v>
      </c>
    </row>
    <row r="37" spans="1:7" ht="15" customHeight="1" x14ac:dyDescent="0.25">
      <c r="C37" s="4" t="s">
        <v>203</v>
      </c>
      <c r="D37" s="4" t="s">
        <v>242</v>
      </c>
      <c r="E37" s="56">
        <v>80000</v>
      </c>
      <c r="F37" s="56">
        <v>40000</v>
      </c>
      <c r="G37" s="56">
        <v>20000</v>
      </c>
    </row>
    <row r="38" spans="1:7" ht="15" customHeight="1" x14ac:dyDescent="0.25">
      <c r="C38" s="4" t="s">
        <v>203</v>
      </c>
      <c r="D38" s="4" t="s">
        <v>243</v>
      </c>
      <c r="E38" s="56">
        <v>90000</v>
      </c>
      <c r="F38" s="56">
        <v>35000</v>
      </c>
      <c r="G38" s="56">
        <v>25000</v>
      </c>
    </row>
    <row r="39" spans="1:7" ht="15" customHeight="1" x14ac:dyDescent="0.25">
      <c r="C39" s="4" t="s">
        <v>62</v>
      </c>
      <c r="D39" s="4" t="s">
        <v>63</v>
      </c>
      <c r="E39" s="56">
        <v>90000</v>
      </c>
      <c r="F39" s="56">
        <v>110000</v>
      </c>
      <c r="G39" s="56">
        <v>200000</v>
      </c>
    </row>
    <row r="40" spans="1:7" ht="15" customHeight="1" x14ac:dyDescent="0.25">
      <c r="C40" s="4" t="s">
        <v>62</v>
      </c>
      <c r="D40" s="4" t="s">
        <v>64</v>
      </c>
      <c r="E40" s="56">
        <v>75000</v>
      </c>
      <c r="F40" s="56">
        <v>82000</v>
      </c>
      <c r="G40" s="56">
        <v>150000</v>
      </c>
    </row>
    <row r="41" spans="1:7" ht="15" customHeight="1" x14ac:dyDescent="0.25">
      <c r="C41" s="4" t="s">
        <v>89</v>
      </c>
      <c r="D41" s="4" t="s">
        <v>241</v>
      </c>
      <c r="E41" s="56">
        <v>30000</v>
      </c>
      <c r="F41" s="56">
        <v>80000</v>
      </c>
      <c r="G41" s="56">
        <v>30000</v>
      </c>
    </row>
    <row r="42" spans="1:7" ht="15" customHeight="1" x14ac:dyDescent="0.25">
      <c r="C42" s="4" t="s">
        <v>89</v>
      </c>
      <c r="D42" s="4" t="s">
        <v>47</v>
      </c>
      <c r="E42" s="56">
        <v>10000</v>
      </c>
      <c r="F42" s="56">
        <v>30000</v>
      </c>
      <c r="G42" s="56">
        <v>40000</v>
      </c>
    </row>
    <row r="43" spans="1:7" ht="15" customHeight="1" x14ac:dyDescent="0.25">
      <c r="C43" s="4"/>
      <c r="D43" s="4"/>
      <c r="E43" s="4"/>
      <c r="F43" s="4"/>
      <c r="G43" s="4"/>
    </row>
    <row r="44" spans="1:7" ht="15" customHeight="1" x14ac:dyDescent="0.25">
      <c r="C44" s="4"/>
      <c r="D44" s="4"/>
      <c r="E44" s="4"/>
      <c r="F44" s="4"/>
      <c r="G44" s="4"/>
    </row>
    <row r="45" spans="1:7" ht="15" customHeight="1" x14ac:dyDescent="0.25">
      <c r="C45" s="4"/>
      <c r="D45" s="4"/>
      <c r="E45" s="4"/>
      <c r="F45" s="4"/>
      <c r="G45" s="4"/>
    </row>
    <row r="46" spans="1:7" ht="15" customHeight="1" x14ac:dyDescent="0.25">
      <c r="C46" s="4"/>
      <c r="D46" s="4"/>
      <c r="E46" s="4"/>
      <c r="F46" s="4"/>
      <c r="G46" s="4"/>
    </row>
    <row r="47" spans="1:7" ht="15" customHeight="1" x14ac:dyDescent="0.25">
      <c r="A47" s="8" t="s">
        <v>288</v>
      </c>
      <c r="C47" s="4"/>
      <c r="D47" s="4"/>
      <c r="E47" s="4"/>
      <c r="F47" s="4"/>
      <c r="G47" s="4"/>
    </row>
    <row r="48" spans="1:7" ht="15" customHeight="1" x14ac:dyDescent="0.25">
      <c r="A48" s="8" t="s">
        <v>289</v>
      </c>
      <c r="C48" s="4"/>
      <c r="D48" s="4"/>
      <c r="E48" s="4"/>
      <c r="F48" s="4"/>
      <c r="G48" s="4"/>
    </row>
    <row r="49" spans="1:7" ht="15" customHeight="1" x14ac:dyDescent="0.25">
      <c r="A49" s="8" t="s">
        <v>290</v>
      </c>
      <c r="C49" s="4"/>
      <c r="D49" s="4"/>
      <c r="E49" s="4"/>
      <c r="F49" s="4"/>
      <c r="G49" s="4"/>
    </row>
    <row r="50" spans="1:7" ht="15" customHeight="1" x14ac:dyDescent="0.25">
      <c r="A50" s="8" t="s">
        <v>291</v>
      </c>
      <c r="C50" s="4"/>
      <c r="D50" s="4"/>
      <c r="E50" s="4"/>
      <c r="F50" s="4"/>
      <c r="G50" s="4"/>
    </row>
    <row r="51" spans="1:7" ht="15" customHeight="1" x14ac:dyDescent="0.25">
      <c r="A51" s="8" t="s">
        <v>292</v>
      </c>
      <c r="C51" s="4"/>
      <c r="D51" s="4"/>
      <c r="E51" s="4"/>
      <c r="F51" s="4"/>
      <c r="G51" s="4"/>
    </row>
    <row r="52" spans="1:7" ht="15" customHeight="1" x14ac:dyDescent="0.25">
      <c r="A52" s="8" t="s">
        <v>293</v>
      </c>
      <c r="C52" s="4"/>
      <c r="D52" s="4"/>
      <c r="E52" s="4"/>
      <c r="F52" s="4"/>
      <c r="G52" s="4"/>
    </row>
    <row r="53" spans="1:7" ht="15" customHeight="1" x14ac:dyDescent="0.25">
      <c r="A53" s="8" t="s">
        <v>294</v>
      </c>
      <c r="C53" s="4"/>
      <c r="D53" s="4"/>
      <c r="E53" s="4"/>
      <c r="F53" s="4"/>
      <c r="G53" s="4"/>
    </row>
    <row r="54" spans="1:7" ht="15" customHeight="1" x14ac:dyDescent="0.25">
      <c r="A54" s="8" t="s">
        <v>295</v>
      </c>
      <c r="C54" s="4" t="s">
        <v>88</v>
      </c>
      <c r="D54" s="4" t="s">
        <v>93</v>
      </c>
      <c r="E54" s="4" t="s">
        <v>213</v>
      </c>
      <c r="F54" s="4" t="s">
        <v>215</v>
      </c>
      <c r="G54" s="4" t="s">
        <v>217</v>
      </c>
    </row>
    <row r="55" spans="1:7" ht="15" customHeight="1" x14ac:dyDescent="0.25">
      <c r="C55" s="4" t="s">
        <v>202</v>
      </c>
      <c r="D55" s="4" t="s">
        <v>53</v>
      </c>
      <c r="E55" s="56">
        <v>30000</v>
      </c>
      <c r="F55" s="56">
        <v>15000</v>
      </c>
      <c r="G55" s="56">
        <v>20000</v>
      </c>
    </row>
    <row r="56" spans="1:7" ht="15" customHeight="1" x14ac:dyDescent="0.25">
      <c r="C56" s="4" t="s">
        <v>202</v>
      </c>
      <c r="D56" s="4" t="s">
        <v>205</v>
      </c>
      <c r="E56" s="56">
        <v>25000</v>
      </c>
      <c r="F56" s="56">
        <v>80000</v>
      </c>
      <c r="G56" s="56">
        <v>120000</v>
      </c>
    </row>
    <row r="57" spans="1:7" ht="15" customHeight="1" x14ac:dyDescent="0.25">
      <c r="C57" s="4" t="s">
        <v>203</v>
      </c>
      <c r="D57" s="4" t="s">
        <v>242</v>
      </c>
      <c r="E57" s="56">
        <v>80000</v>
      </c>
      <c r="F57" s="56">
        <v>40000</v>
      </c>
      <c r="G57" s="56">
        <v>20000</v>
      </c>
    </row>
    <row r="58" spans="1:7" ht="15" customHeight="1" x14ac:dyDescent="0.25">
      <c r="C58" s="4" t="s">
        <v>203</v>
      </c>
      <c r="D58" s="4" t="s">
        <v>243</v>
      </c>
      <c r="E58" s="56">
        <v>90000</v>
      </c>
      <c r="F58" s="56">
        <v>35000</v>
      </c>
      <c r="G58" s="56">
        <v>25000</v>
      </c>
    </row>
    <row r="59" spans="1:7" ht="15" customHeight="1" x14ac:dyDescent="0.25">
      <c r="C59" s="4" t="s">
        <v>62</v>
      </c>
      <c r="D59" s="4" t="s">
        <v>63</v>
      </c>
      <c r="E59" s="56">
        <v>90000</v>
      </c>
      <c r="F59" s="56">
        <v>110000</v>
      </c>
      <c r="G59" s="56">
        <v>200000</v>
      </c>
    </row>
    <row r="60" spans="1:7" ht="15" customHeight="1" x14ac:dyDescent="0.25">
      <c r="C60" s="4" t="s">
        <v>62</v>
      </c>
      <c r="D60" s="4" t="s">
        <v>64</v>
      </c>
      <c r="E60" s="56">
        <v>75000</v>
      </c>
      <c r="F60" s="56">
        <v>82000</v>
      </c>
      <c r="G60" s="56">
        <v>150000</v>
      </c>
    </row>
    <row r="61" spans="1:7" ht="15" customHeight="1" x14ac:dyDescent="0.25">
      <c r="C61" s="4" t="s">
        <v>89</v>
      </c>
      <c r="D61" s="4" t="s">
        <v>241</v>
      </c>
      <c r="E61" s="56">
        <v>30000</v>
      </c>
      <c r="F61" s="56">
        <v>80000</v>
      </c>
      <c r="G61" s="56">
        <v>30000</v>
      </c>
    </row>
    <row r="62" spans="1:7" ht="15" customHeight="1" x14ac:dyDescent="0.25">
      <c r="C62" s="4" t="s">
        <v>89</v>
      </c>
      <c r="D62" s="4" t="s">
        <v>47</v>
      </c>
      <c r="E62" s="56">
        <v>10000</v>
      </c>
      <c r="F62" s="56">
        <v>30000</v>
      </c>
      <c r="G62" s="56">
        <v>40000</v>
      </c>
    </row>
    <row r="68" spans="1:7" ht="15" customHeight="1" x14ac:dyDescent="0.25">
      <c r="A68" s="8" t="s">
        <v>41</v>
      </c>
    </row>
    <row r="69" spans="1:7" ht="15" customHeight="1" x14ac:dyDescent="0.25">
      <c r="A69" s="8" t="s">
        <v>296</v>
      </c>
      <c r="C69" s="4"/>
      <c r="D69" s="4"/>
      <c r="E69" s="4"/>
      <c r="F69" s="4"/>
      <c r="G69" s="4"/>
    </row>
    <row r="70" spans="1:7" ht="15" customHeight="1" x14ac:dyDescent="0.25">
      <c r="A70" s="8" t="s">
        <v>297</v>
      </c>
      <c r="C70" s="4"/>
      <c r="D70" s="4"/>
      <c r="E70" s="4"/>
      <c r="F70" s="4"/>
      <c r="G70" s="4"/>
    </row>
    <row r="71" spans="1:7" ht="15" customHeight="1" x14ac:dyDescent="0.25">
      <c r="A71" s="8" t="s">
        <v>86</v>
      </c>
      <c r="C71" s="4"/>
      <c r="D71" s="4"/>
      <c r="E71" s="4"/>
      <c r="F71" s="4"/>
      <c r="G71" s="4"/>
    </row>
  </sheetData>
  <phoneticPr fontId="22" type="noConversion"/>
  <hyperlinks>
    <hyperlink ref="A69" r:id="rId1" tooltip="選取以從 Web 了解如何立即分析資料" xr:uid="{00000000-0004-0000-0800-000000000000}"/>
    <hyperlink ref="A70" r:id="rId2" tooltip="選取以從 Web 了解如何使用走勢圖分析資料的趨勢" xr:uid="{00000000-0004-0000-0800-000001000000}"/>
  </hyperlinks>
  <pageMargins left="0.7" right="0.7" top="0.75" bottom="0.75" header="0.3" footer="0.3"/>
  <pageSetup paperSize="9" orientation="portrait" r:id="rId3"/>
  <drawing r:id="rId4"/>
  <tableParts count="3">
    <tablePart r:id="rId5"/>
    <tablePart r:id="rId6"/>
    <tablePart r:id="rId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74"/>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3" width="13.88671875" style="13" customWidth="1"/>
    <col min="4" max="4" width="21.21875" style="13" customWidth="1"/>
    <col min="5" max="5" width="19.77734375" style="13" customWidth="1"/>
    <col min="6" max="6" width="13.109375" style="13" customWidth="1"/>
    <col min="7" max="16384" width="8.88671875" style="13"/>
  </cols>
  <sheetData>
    <row r="1" spans="1:6" ht="60" customHeight="1" x14ac:dyDescent="0.25">
      <c r="A1" s="8" t="s">
        <v>298</v>
      </c>
      <c r="C1" s="4"/>
      <c r="D1" s="4"/>
      <c r="E1" s="4"/>
      <c r="F1" s="4"/>
    </row>
    <row r="2" spans="1:6" ht="15" customHeight="1" x14ac:dyDescent="0.25">
      <c r="A2" s="8" t="s">
        <v>299</v>
      </c>
      <c r="C2" s="4"/>
      <c r="D2" s="4"/>
      <c r="E2" s="4"/>
      <c r="F2" s="4"/>
    </row>
    <row r="3" spans="1:6" ht="15" customHeight="1" x14ac:dyDescent="0.25">
      <c r="A3" s="8" t="s">
        <v>300</v>
      </c>
      <c r="C3" s="4"/>
      <c r="D3" s="4"/>
      <c r="E3" s="4"/>
      <c r="F3" s="4"/>
    </row>
    <row r="4" spans="1:6" ht="15" customHeight="1" x14ac:dyDescent="0.25">
      <c r="A4" s="8" t="s">
        <v>368</v>
      </c>
      <c r="C4" s="4"/>
      <c r="D4" s="4"/>
      <c r="E4" s="4"/>
      <c r="F4" s="4"/>
    </row>
    <row r="5" spans="1:6" s="16" customFormat="1" ht="15" customHeight="1" x14ac:dyDescent="0.25">
      <c r="A5" s="8" t="s">
        <v>301</v>
      </c>
      <c r="B5" s="4"/>
      <c r="C5" s="4" t="s">
        <v>322</v>
      </c>
      <c r="D5" s="4" t="s">
        <v>323</v>
      </c>
      <c r="E5" s="4"/>
      <c r="F5" s="4"/>
    </row>
    <row r="6" spans="1:6" s="16" customFormat="1" ht="15" customHeight="1" x14ac:dyDescent="0.25">
      <c r="A6" s="8" t="s">
        <v>302</v>
      </c>
      <c r="B6" s="4"/>
      <c r="C6" s="4">
        <f ca="1">YEAR(TODAY())-5</f>
        <v>2021</v>
      </c>
      <c r="D6" s="4">
        <v>500</v>
      </c>
      <c r="E6" s="4"/>
      <c r="F6" s="4"/>
    </row>
    <row r="7" spans="1:6" s="16" customFormat="1" ht="15" customHeight="1" x14ac:dyDescent="0.25">
      <c r="A7" s="8" t="s">
        <v>303</v>
      </c>
      <c r="B7" s="4"/>
      <c r="C7" s="4">
        <f ca="1">YEAR(TODAY())-4</f>
        <v>2022</v>
      </c>
      <c r="D7" s="4">
        <v>800</v>
      </c>
      <c r="E7" s="4"/>
      <c r="F7" s="4"/>
    </row>
    <row r="8" spans="1:6" s="16" customFormat="1" ht="15" customHeight="1" x14ac:dyDescent="0.25">
      <c r="A8" s="8" t="s">
        <v>304</v>
      </c>
      <c r="B8" s="4"/>
      <c r="C8" s="4">
        <f ca="1">YEAR(TODAY())-3</f>
        <v>2023</v>
      </c>
      <c r="D8" s="4">
        <v>1000</v>
      </c>
      <c r="E8" s="4"/>
      <c r="F8" s="4"/>
    </row>
    <row r="9" spans="1:6" s="16" customFormat="1" ht="15" customHeight="1" x14ac:dyDescent="0.25">
      <c r="A9" s="11" t="s">
        <v>305</v>
      </c>
      <c r="B9" s="4"/>
      <c r="C9" s="4">
        <f ca="1">YEAR(TODAY())-2</f>
        <v>2024</v>
      </c>
      <c r="D9" s="4">
        <v>900</v>
      </c>
      <c r="E9" s="4"/>
      <c r="F9" s="4"/>
    </row>
    <row r="10" spans="1:6" s="16" customFormat="1" ht="15" customHeight="1" x14ac:dyDescent="0.25">
      <c r="A10" s="8" t="s">
        <v>15</v>
      </c>
      <c r="B10" s="4"/>
      <c r="C10" s="4">
        <f ca="1">YEAR(TODAY())-1</f>
        <v>2025</v>
      </c>
      <c r="D10" s="4">
        <v>1000</v>
      </c>
      <c r="E10" s="4"/>
      <c r="F10" s="4"/>
    </row>
    <row r="11" spans="1:6" s="16" customFormat="1" ht="15" customHeight="1" x14ac:dyDescent="0.25">
      <c r="A11" s="8"/>
      <c r="B11" s="4"/>
      <c r="C11" s="4">
        <f ca="1">YEAR(TODAY())</f>
        <v>2026</v>
      </c>
      <c r="D11" s="4">
        <v>1200</v>
      </c>
      <c r="E11" s="4"/>
      <c r="F11" s="4"/>
    </row>
    <row r="12" spans="1:6" s="16" customFormat="1" ht="15" customHeight="1" x14ac:dyDescent="0.25">
      <c r="A12" s="8"/>
      <c r="B12" s="4"/>
      <c r="C12"/>
      <c r="D12"/>
      <c r="E12" s="4"/>
      <c r="F12" s="4"/>
    </row>
    <row r="13" spans="1:6" s="16" customFormat="1" ht="15" customHeight="1" x14ac:dyDescent="0.25">
      <c r="A13" s="8"/>
      <c r="B13" s="4"/>
      <c r="C13" s="4"/>
      <c r="D13" s="4"/>
      <c r="E13" s="4"/>
      <c r="F13" s="4"/>
    </row>
    <row r="14" spans="1:6" s="16" customFormat="1" ht="15" customHeight="1" x14ac:dyDescent="0.25">
      <c r="A14" s="8"/>
      <c r="B14" s="4"/>
      <c r="C14" s="4"/>
      <c r="D14" s="4"/>
      <c r="E14" s="4"/>
      <c r="F14" s="4"/>
    </row>
    <row r="15" spans="1:6" s="16" customFormat="1" ht="15" customHeight="1" x14ac:dyDescent="0.25">
      <c r="A15" s="8"/>
      <c r="B15" s="4"/>
      <c r="C15" s="4"/>
      <c r="D15" s="4"/>
      <c r="E15" s="4"/>
      <c r="F15" s="4"/>
    </row>
    <row r="16" spans="1:6" s="16" customFormat="1" ht="15" customHeight="1" x14ac:dyDescent="0.25">
      <c r="A16" s="8"/>
      <c r="B16" s="4"/>
      <c r="C16" s="4"/>
      <c r="D16" s="4"/>
      <c r="E16" s="4"/>
      <c r="F16" s="4"/>
    </row>
    <row r="17" spans="1:6" s="16" customFormat="1" ht="15" customHeight="1" x14ac:dyDescent="0.25">
      <c r="A17" s="8"/>
      <c r="B17" s="4"/>
      <c r="C17" s="4"/>
      <c r="D17" s="4"/>
      <c r="E17" s="4"/>
      <c r="F17" s="4"/>
    </row>
    <row r="18" spans="1:6" s="16" customFormat="1" ht="15" customHeight="1" x14ac:dyDescent="0.25">
      <c r="A18" s="8"/>
      <c r="B18" s="4"/>
      <c r="C18" s="4"/>
      <c r="D18" s="4"/>
      <c r="E18" s="4"/>
      <c r="F18" s="4"/>
    </row>
    <row r="19" spans="1:6" s="16" customFormat="1" ht="15" customHeight="1" x14ac:dyDescent="0.25">
      <c r="A19" s="8"/>
      <c r="B19" s="4"/>
      <c r="C19" s="4"/>
      <c r="D19" s="4"/>
      <c r="E19" s="4"/>
      <c r="F19" s="4"/>
    </row>
    <row r="20" spans="1:6" s="16" customFormat="1" ht="15" customHeight="1" x14ac:dyDescent="0.25">
      <c r="A20" s="8"/>
      <c r="B20" s="4"/>
      <c r="C20" s="4"/>
      <c r="D20" s="4"/>
      <c r="E20" s="4"/>
      <c r="F20" s="4"/>
    </row>
    <row r="21" spans="1:6" s="16" customFormat="1" ht="15" customHeight="1" x14ac:dyDescent="0.25">
      <c r="A21" s="8"/>
      <c r="B21" s="4"/>
      <c r="C21" s="4"/>
      <c r="D21" s="4"/>
      <c r="E21" s="4"/>
      <c r="F21" s="4"/>
    </row>
    <row r="22" spans="1:6" s="16" customFormat="1" ht="15" customHeight="1" x14ac:dyDescent="0.25">
      <c r="A22" s="8"/>
      <c r="B22" s="4"/>
    </row>
    <row r="23" spans="1:6" s="16" customFormat="1" ht="15" customHeight="1" x14ac:dyDescent="0.25">
      <c r="A23" s="8"/>
      <c r="B23" s="4"/>
    </row>
    <row r="24" spans="1:6" s="16" customFormat="1" ht="15" customHeight="1" x14ac:dyDescent="0.25">
      <c r="A24" s="8"/>
      <c r="B24" s="4"/>
    </row>
    <row r="27" spans="1:6" ht="15" customHeight="1" x14ac:dyDescent="0.25">
      <c r="A27" s="8" t="s">
        <v>306</v>
      </c>
      <c r="C27" s="4"/>
      <c r="D27" s="4"/>
      <c r="E27" s="4"/>
      <c r="F27" s="4"/>
    </row>
    <row r="28" spans="1:6" ht="15" customHeight="1" x14ac:dyDescent="0.25">
      <c r="A28" s="8" t="s">
        <v>307</v>
      </c>
      <c r="C28" s="4"/>
      <c r="D28" s="4"/>
      <c r="E28" s="4"/>
      <c r="F28" s="4"/>
    </row>
    <row r="29" spans="1:6" ht="15" customHeight="1" x14ac:dyDescent="0.25">
      <c r="A29" s="8" t="s">
        <v>308</v>
      </c>
      <c r="C29" s="4"/>
      <c r="D29" s="4"/>
      <c r="E29" s="4"/>
      <c r="F29" s="4"/>
    </row>
    <row r="30" spans="1:6" ht="15" customHeight="1" x14ac:dyDescent="0.25">
      <c r="A30" s="8" t="s">
        <v>309</v>
      </c>
      <c r="C30" s="4"/>
      <c r="D30" s="4"/>
      <c r="E30" s="4"/>
      <c r="F30" s="4"/>
    </row>
    <row r="31" spans="1:6" ht="15" customHeight="1" x14ac:dyDescent="0.25">
      <c r="A31" s="8" t="s">
        <v>310</v>
      </c>
      <c r="C31" s="4"/>
      <c r="D31" s="4"/>
      <c r="E31" s="4"/>
      <c r="F31" s="4"/>
    </row>
    <row r="32" spans="1:6" ht="15" customHeight="1" x14ac:dyDescent="0.25">
      <c r="A32" s="8" t="s">
        <v>311</v>
      </c>
      <c r="C32" s="4"/>
      <c r="D32" s="4"/>
      <c r="E32" s="4"/>
      <c r="F32" s="4"/>
    </row>
    <row r="33" spans="1:6" ht="15" customHeight="1" x14ac:dyDescent="0.25">
      <c r="A33" s="8" t="s">
        <v>312</v>
      </c>
      <c r="C33" s="4"/>
      <c r="D33" s="4"/>
      <c r="E33" s="4"/>
      <c r="F33" s="4"/>
    </row>
    <row r="34" spans="1:6" ht="15" customHeight="1" x14ac:dyDescent="0.25">
      <c r="A34" s="8" t="s">
        <v>313</v>
      </c>
      <c r="C34" s="4"/>
      <c r="D34" s="4"/>
      <c r="E34" s="4"/>
      <c r="F34" s="4"/>
    </row>
    <row r="35" spans="1:6" ht="15" customHeight="1" x14ac:dyDescent="0.25">
      <c r="A35" s="8" t="s">
        <v>314</v>
      </c>
      <c r="C35" s="4"/>
      <c r="D35" s="4"/>
      <c r="E35" s="4"/>
      <c r="F35" s="4"/>
    </row>
    <row r="36" spans="1:6" ht="15" customHeight="1" x14ac:dyDescent="0.25">
      <c r="C36" s="4"/>
      <c r="D36" s="4"/>
      <c r="E36" s="4"/>
      <c r="F36" s="4"/>
    </row>
    <row r="37" spans="1:6" ht="15" customHeight="1" x14ac:dyDescent="0.25">
      <c r="C37" s="4"/>
      <c r="D37" s="4"/>
      <c r="E37" s="4"/>
      <c r="F37" s="4"/>
    </row>
    <row r="38" spans="1:6" ht="15" customHeight="1" x14ac:dyDescent="0.25">
      <c r="C38" s="4"/>
      <c r="D38" s="4"/>
      <c r="E38" s="4"/>
      <c r="F38" s="4"/>
    </row>
    <row r="39" spans="1:6" ht="15" customHeight="1" x14ac:dyDescent="0.25">
      <c r="C39" s="4"/>
      <c r="D39" s="4"/>
      <c r="E39" s="4"/>
      <c r="F39" s="4"/>
    </row>
    <row r="40" spans="1:6" ht="15" customHeight="1" x14ac:dyDescent="0.25">
      <c r="C40" s="4"/>
      <c r="D40" s="4"/>
      <c r="E40" s="4"/>
      <c r="F40" s="4"/>
    </row>
    <row r="41" spans="1:6" ht="15" customHeight="1" x14ac:dyDescent="0.25">
      <c r="C41" s="4"/>
      <c r="D41" s="4"/>
      <c r="E41" s="4"/>
      <c r="F41" s="4"/>
    </row>
    <row r="42" spans="1:6" ht="15" customHeight="1" x14ac:dyDescent="0.25">
      <c r="C42" s="4"/>
      <c r="D42" s="4"/>
      <c r="E42" s="4"/>
      <c r="F42" s="4"/>
    </row>
    <row r="43" spans="1:6" ht="15" customHeight="1" x14ac:dyDescent="0.25">
      <c r="C43" s="4"/>
      <c r="D43" s="4"/>
      <c r="E43" s="4"/>
      <c r="F43" s="4"/>
    </row>
    <row r="44" spans="1:6" ht="15" customHeight="1" x14ac:dyDescent="0.25">
      <c r="C44" s="4"/>
      <c r="D44" s="4"/>
      <c r="E44" s="4"/>
      <c r="F44" s="4"/>
    </row>
    <row r="45" spans="1:6" ht="15" customHeight="1" x14ac:dyDescent="0.25">
      <c r="C45" s="4"/>
      <c r="D45" s="4"/>
      <c r="E45" s="4"/>
      <c r="F45" s="4"/>
    </row>
    <row r="46" spans="1:6" ht="15" customHeight="1" x14ac:dyDescent="0.25">
      <c r="C46" s="4"/>
      <c r="D46" s="4"/>
      <c r="E46" s="4"/>
      <c r="F46" s="4"/>
    </row>
    <row r="47" spans="1:6" ht="15" customHeight="1" x14ac:dyDescent="0.25">
      <c r="C47" s="4"/>
      <c r="D47" s="4"/>
      <c r="E47" s="4"/>
      <c r="F47" s="4"/>
    </row>
    <row r="48" spans="1:6" ht="15" customHeight="1" x14ac:dyDescent="0.25">
      <c r="C48" s="4"/>
      <c r="D48" s="4"/>
      <c r="E48" s="4"/>
      <c r="F48" s="4"/>
    </row>
    <row r="49" spans="1:6" ht="15" customHeight="1" x14ac:dyDescent="0.25">
      <c r="C49" s="4"/>
      <c r="D49" s="4"/>
      <c r="E49" s="4"/>
      <c r="F49" s="4"/>
    </row>
    <row r="50" spans="1:6" ht="15" customHeight="1" x14ac:dyDescent="0.25">
      <c r="C50" s="4"/>
      <c r="D50" s="4"/>
      <c r="E50" s="4"/>
      <c r="F50" s="4"/>
    </row>
    <row r="51" spans="1:6" ht="15" customHeight="1" x14ac:dyDescent="0.25">
      <c r="C51" s="4"/>
      <c r="D51" s="4"/>
      <c r="E51" s="4"/>
      <c r="F51" s="4"/>
    </row>
    <row r="52" spans="1:6" ht="15" customHeight="1" x14ac:dyDescent="0.25">
      <c r="A52" s="8" t="s">
        <v>315</v>
      </c>
      <c r="C52" s="4"/>
      <c r="D52" s="4"/>
      <c r="E52" s="4"/>
      <c r="F52" s="4"/>
    </row>
    <row r="53" spans="1:6" ht="15" customHeight="1" x14ac:dyDescent="0.25">
      <c r="A53" s="8" t="s">
        <v>316</v>
      </c>
      <c r="C53" s="4"/>
      <c r="D53" s="4"/>
      <c r="E53" s="4"/>
      <c r="F53" s="4"/>
    </row>
    <row r="54" spans="1:6" ht="15" customHeight="1" x14ac:dyDescent="0.25">
      <c r="A54" s="8" t="s">
        <v>317</v>
      </c>
      <c r="C54" s="4"/>
      <c r="D54" s="4"/>
      <c r="E54" s="4"/>
      <c r="F54" s="4"/>
    </row>
    <row r="55" spans="1:6" ht="15" customHeight="1" x14ac:dyDescent="0.25">
      <c r="A55" s="8" t="s">
        <v>318</v>
      </c>
    </row>
    <row r="56" spans="1:6" ht="15" customHeight="1" x14ac:dyDescent="0.25">
      <c r="A56" s="11" t="s">
        <v>369</v>
      </c>
    </row>
    <row r="57" spans="1:6" ht="15" customHeight="1" x14ac:dyDescent="0.25">
      <c r="A57" s="8" t="s">
        <v>295</v>
      </c>
    </row>
    <row r="62" spans="1:6" ht="15" customHeight="1" x14ac:dyDescent="0.25">
      <c r="F62" s="4"/>
    </row>
    <row r="63" spans="1:6" ht="15" customHeight="1" x14ac:dyDescent="0.25">
      <c r="C63" s="4"/>
      <c r="D63" s="4"/>
      <c r="E63" s="4"/>
      <c r="F63" s="4"/>
    </row>
    <row r="64" spans="1:6" ht="15" customHeight="1" x14ac:dyDescent="0.25">
      <c r="C64" s="4"/>
      <c r="D64" s="4"/>
      <c r="E64" s="4"/>
      <c r="F64" s="4"/>
    </row>
    <row r="67" spans="1:6" ht="15" customHeight="1" x14ac:dyDescent="0.25">
      <c r="D67" s="2" t="s">
        <v>324</v>
      </c>
      <c r="E67" s="2" t="s">
        <v>323</v>
      </c>
      <c r="F67" s="17" t="s">
        <v>325</v>
      </c>
    </row>
    <row r="68" spans="1:6" ht="15" customHeight="1" x14ac:dyDescent="0.25">
      <c r="A68" s="8" t="s">
        <v>41</v>
      </c>
      <c r="D68" s="4">
        <f ca="1">YEAR(TODAY())-5</f>
        <v>2021</v>
      </c>
      <c r="E68" s="18">
        <v>500</v>
      </c>
      <c r="F68" s="57">
        <v>5000</v>
      </c>
    </row>
    <row r="69" spans="1:6" ht="15" customHeight="1" x14ac:dyDescent="0.25">
      <c r="A69" s="8" t="s">
        <v>319</v>
      </c>
      <c r="C69" s="4"/>
      <c r="D69" s="4">
        <f ca="1">YEAR(TODAY())-4</f>
        <v>2022</v>
      </c>
      <c r="E69" s="4">
        <v>800</v>
      </c>
      <c r="F69" s="57">
        <v>11200</v>
      </c>
    </row>
    <row r="70" spans="1:6" ht="15" customHeight="1" x14ac:dyDescent="0.25">
      <c r="A70" s="8" t="s">
        <v>320</v>
      </c>
      <c r="C70" s="4"/>
      <c r="D70" s="4">
        <f ca="1">YEAR(TODAY())-3</f>
        <v>2023</v>
      </c>
      <c r="E70" s="18">
        <v>1000</v>
      </c>
      <c r="F70" s="57">
        <v>30000</v>
      </c>
    </row>
    <row r="71" spans="1:6" ht="15" customHeight="1" x14ac:dyDescent="0.25">
      <c r="A71" s="8" t="s">
        <v>321</v>
      </c>
      <c r="C71" s="4"/>
      <c r="D71" s="4">
        <f ca="1">YEAR(TODAY())-2</f>
        <v>2024</v>
      </c>
      <c r="E71" s="4">
        <v>900</v>
      </c>
      <c r="F71" s="57">
        <v>25000</v>
      </c>
    </row>
    <row r="72" spans="1:6" ht="15" customHeight="1" x14ac:dyDescent="0.25">
      <c r="A72" s="8" t="s">
        <v>86</v>
      </c>
      <c r="C72" s="4"/>
      <c r="D72" s="4">
        <f ca="1">YEAR(TODAY())-1</f>
        <v>2025</v>
      </c>
      <c r="E72" s="18">
        <v>1000</v>
      </c>
      <c r="F72" s="57">
        <v>5000</v>
      </c>
    </row>
    <row r="73" spans="1:6" ht="15" customHeight="1" x14ac:dyDescent="0.25">
      <c r="C73" s="4"/>
      <c r="D73" s="4">
        <f ca="1">YEAR(TODAY())</f>
        <v>2026</v>
      </c>
      <c r="E73" s="4">
        <v>1200</v>
      </c>
      <c r="F73" s="57">
        <v>8000</v>
      </c>
    </row>
    <row r="74" spans="1:6" ht="15" customHeight="1" x14ac:dyDescent="0.25">
      <c r="C74" s="4"/>
      <c r="D74" s="4"/>
      <c r="E74" s="4"/>
      <c r="F74" s="4"/>
    </row>
  </sheetData>
  <phoneticPr fontId="22" type="noConversion"/>
  <hyperlinks>
    <hyperlink ref="A71" r:id="rId1" tooltip="選取以從 Web 了解 Office 中可用的圖表類型" xr:uid="{00000000-0004-0000-0900-000000000000}"/>
    <hyperlink ref="A70" r:id="rId2" tooltip="選取以從 Web 了解如何建立含有副座標軸的組合式圖表" xr:uid="{00000000-0004-0000-0900-000001000000}"/>
    <hyperlink ref="A69" r:id="rId3" tooltip="選取以從 Web 了解建立圖表的完整流程" xr:uid="{00000000-0004-0000-0900-000002000000}"/>
  </hyperlinks>
  <pageMargins left="0.7" right="0.7" top="0.75" bottom="0.75" header="0.3" footer="0.3"/>
  <pageSetup paperSize="9" orientation="portrait" r:id="rId4"/>
  <drawing r:id="rId5"/>
  <tableParts count="2">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G61"/>
  <sheetViews>
    <sheetView showGridLines="0" zoomScaleNormal="100" zoomScalePageLayoutView="125" workbookViewId="0"/>
  </sheetViews>
  <sheetFormatPr defaultColWidth="8.88671875" defaultRowHeight="15" customHeight="1" x14ac:dyDescent="0.25"/>
  <cols>
    <col min="1" max="1" width="12.77734375" style="8" customWidth="1"/>
    <col min="2" max="2" width="63.5546875" style="4" customWidth="1"/>
    <col min="3" max="4" width="9.88671875" style="13" bestFit="1" customWidth="1"/>
    <col min="5" max="5" width="8.33203125" style="13" bestFit="1" customWidth="1"/>
    <col min="6" max="6" width="10.21875" style="13" bestFit="1" customWidth="1"/>
    <col min="7" max="16384" width="8.88671875" style="13"/>
  </cols>
  <sheetData>
    <row r="1" spans="1:7" ht="60" customHeight="1" x14ac:dyDescent="0.25">
      <c r="A1" s="8" t="s">
        <v>326</v>
      </c>
      <c r="C1" s="4"/>
      <c r="D1" s="4"/>
      <c r="E1" s="4"/>
      <c r="F1" s="4"/>
    </row>
    <row r="2" spans="1:7" ht="15" customHeight="1" x14ac:dyDescent="0.25">
      <c r="A2" s="8" t="s">
        <v>327</v>
      </c>
      <c r="C2" s="4"/>
      <c r="D2" s="4"/>
      <c r="E2" s="4"/>
      <c r="F2" s="4"/>
    </row>
    <row r="3" spans="1:7" ht="15" customHeight="1" x14ac:dyDescent="0.25">
      <c r="A3" s="8" t="s">
        <v>328</v>
      </c>
      <c r="C3" s="4" t="s">
        <v>324</v>
      </c>
      <c r="D3" s="4" t="s">
        <v>345</v>
      </c>
      <c r="E3" s="4" t="s">
        <v>96</v>
      </c>
      <c r="F3" s="4" t="s">
        <v>60</v>
      </c>
    </row>
    <row r="4" spans="1:7" ht="15" customHeight="1" x14ac:dyDescent="0.25">
      <c r="A4" s="8" t="s">
        <v>329</v>
      </c>
      <c r="C4" s="14">
        <f ca="1">TODAY()-57</f>
        <v>46064</v>
      </c>
      <c r="D4" s="4" t="s">
        <v>346</v>
      </c>
      <c r="E4" s="4" t="s">
        <v>348</v>
      </c>
      <c r="F4" s="15">
        <v>1400</v>
      </c>
    </row>
    <row r="5" spans="1:7" s="16" customFormat="1" ht="15" customHeight="1" x14ac:dyDescent="0.25">
      <c r="A5" s="8" t="s">
        <v>330</v>
      </c>
      <c r="B5" s="4"/>
      <c r="C5" s="14">
        <f ca="1">TODAY()-52</f>
        <v>46069</v>
      </c>
      <c r="D5" s="4" t="s">
        <v>208</v>
      </c>
      <c r="E5" s="4" t="s">
        <v>349</v>
      </c>
      <c r="F5" s="15">
        <v>1010</v>
      </c>
    </row>
    <row r="6" spans="1:7" s="16" customFormat="1" ht="15" customHeight="1" x14ac:dyDescent="0.25">
      <c r="A6" s="8" t="s">
        <v>331</v>
      </c>
      <c r="B6" s="4"/>
      <c r="C6" s="14">
        <f ca="1">TODAY()-35</f>
        <v>46086</v>
      </c>
      <c r="D6" s="4" t="s">
        <v>346</v>
      </c>
      <c r="E6" s="4" t="s">
        <v>348</v>
      </c>
      <c r="F6" s="15">
        <v>750</v>
      </c>
    </row>
    <row r="7" spans="1:7" s="16" customFormat="1" ht="15" customHeight="1" x14ac:dyDescent="0.25">
      <c r="A7" s="8" t="s">
        <v>332</v>
      </c>
      <c r="B7" s="4"/>
      <c r="C7" s="14">
        <f ca="1">TODAY()-31</f>
        <v>46090</v>
      </c>
      <c r="D7" s="4" t="s">
        <v>208</v>
      </c>
      <c r="E7" s="4" t="s">
        <v>350</v>
      </c>
      <c r="F7" s="15">
        <v>510</v>
      </c>
    </row>
    <row r="8" spans="1:7" s="16" customFormat="1" ht="15" customHeight="1" x14ac:dyDescent="0.25">
      <c r="A8" s="8" t="s">
        <v>15</v>
      </c>
      <c r="B8" s="4"/>
      <c r="C8" s="14">
        <f ca="1">TODAY()-11</f>
        <v>46110</v>
      </c>
      <c r="D8" s="4" t="s">
        <v>347</v>
      </c>
      <c r="E8" s="4" t="s">
        <v>350</v>
      </c>
      <c r="F8" s="15">
        <v>1600</v>
      </c>
    </row>
    <row r="9" spans="1:7" s="16" customFormat="1" ht="15" customHeight="1" x14ac:dyDescent="0.25">
      <c r="A9" s="8"/>
      <c r="B9" s="4"/>
      <c r="C9" s="14">
        <f ca="1">TODAY()</f>
        <v>46121</v>
      </c>
      <c r="D9" s="4" t="s">
        <v>212</v>
      </c>
      <c r="E9" s="4" t="s">
        <v>349</v>
      </c>
      <c r="F9" s="15">
        <v>680</v>
      </c>
    </row>
    <row r="10" spans="1:7" s="16" customFormat="1" ht="15" customHeight="1" x14ac:dyDescent="0.25">
      <c r="A10" s="8"/>
      <c r="B10" s="4"/>
      <c r="C10" s="4"/>
      <c r="D10" s="4"/>
      <c r="E10" s="4"/>
      <c r="F10" s="4"/>
    </row>
    <row r="11" spans="1:7" s="16" customFormat="1" ht="15" customHeight="1" x14ac:dyDescent="0.25">
      <c r="A11" s="8"/>
      <c r="B11" s="4"/>
      <c r="E11" s="59" t="s">
        <v>351</v>
      </c>
      <c r="F11" t="s">
        <v>359</v>
      </c>
      <c r="G11"/>
    </row>
    <row r="12" spans="1:7" s="16" customFormat="1" ht="15" customHeight="1" x14ac:dyDescent="0.25">
      <c r="A12" s="8"/>
      <c r="B12" s="4"/>
      <c r="E12" s="60" t="s">
        <v>350</v>
      </c>
      <c r="F12" s="61">
        <v>2110</v>
      </c>
      <c r="G12"/>
    </row>
    <row r="13" spans="1:7" s="16" customFormat="1" ht="15" customHeight="1" x14ac:dyDescent="0.25">
      <c r="A13" s="8"/>
      <c r="B13" s="4"/>
      <c r="E13" s="60" t="s">
        <v>349</v>
      </c>
      <c r="F13" s="61">
        <v>1690</v>
      </c>
      <c r="G13"/>
    </row>
    <row r="14" spans="1:7" s="16" customFormat="1" ht="15" customHeight="1" x14ac:dyDescent="0.25">
      <c r="A14" s="8"/>
      <c r="B14" s="4"/>
      <c r="E14" s="60" t="s">
        <v>348</v>
      </c>
      <c r="F14" s="61">
        <v>2150</v>
      </c>
      <c r="G14"/>
    </row>
    <row r="15" spans="1:7" s="16" customFormat="1" ht="15" customHeight="1" x14ac:dyDescent="0.25">
      <c r="A15" s="8"/>
      <c r="B15" s="4"/>
      <c r="E15" s="60" t="s">
        <v>352</v>
      </c>
      <c r="F15" s="61">
        <v>5950</v>
      </c>
      <c r="G15"/>
    </row>
    <row r="16" spans="1:7" s="16" customFormat="1" ht="15" customHeight="1" x14ac:dyDescent="0.25">
      <c r="A16" s="8"/>
      <c r="B16" s="4"/>
      <c r="C16" s="4"/>
      <c r="D16" s="4"/>
      <c r="E16"/>
      <c r="F16"/>
      <c r="G16"/>
    </row>
    <row r="17" spans="1:7" s="16" customFormat="1" ht="15" customHeight="1" x14ac:dyDescent="0.25">
      <c r="A17" s="8"/>
      <c r="B17" s="4"/>
      <c r="C17" s="4"/>
      <c r="D17" s="4"/>
      <c r="E17"/>
      <c r="F17"/>
      <c r="G17"/>
    </row>
    <row r="18" spans="1:7" s="16" customFormat="1" ht="15" customHeight="1" x14ac:dyDescent="0.25">
      <c r="A18" s="8"/>
      <c r="B18" s="4"/>
      <c r="C18" s="4"/>
      <c r="D18" s="4"/>
      <c r="E18"/>
      <c r="F18"/>
      <c r="G18"/>
    </row>
    <row r="19" spans="1:7" s="16" customFormat="1" ht="15" customHeight="1" x14ac:dyDescent="0.25">
      <c r="A19" s="8"/>
      <c r="B19" s="4"/>
      <c r="C19" s="4"/>
      <c r="D19" s="4"/>
      <c r="E19"/>
      <c r="F19"/>
      <c r="G19"/>
    </row>
    <row r="20" spans="1:7" s="16" customFormat="1" ht="15" customHeight="1" x14ac:dyDescent="0.25">
      <c r="A20" s="8"/>
      <c r="B20" s="4"/>
      <c r="C20" s="4"/>
      <c r="D20" s="4"/>
      <c r="E20"/>
      <c r="F20"/>
      <c r="G20"/>
    </row>
    <row r="21" spans="1:7" s="16" customFormat="1" ht="15" customHeight="1" x14ac:dyDescent="0.25">
      <c r="A21" s="8"/>
      <c r="B21" s="4"/>
      <c r="C21" s="4"/>
      <c r="D21" s="4"/>
      <c r="E21"/>
      <c r="F21"/>
      <c r="G21"/>
    </row>
    <row r="22" spans="1:7" s="16" customFormat="1" ht="15" customHeight="1" x14ac:dyDescent="0.25">
      <c r="A22" s="8"/>
      <c r="B22" s="4"/>
      <c r="C22" s="4"/>
      <c r="D22" s="4"/>
      <c r="E22"/>
      <c r="F22"/>
      <c r="G22"/>
    </row>
    <row r="23" spans="1:7" s="16" customFormat="1" ht="15" customHeight="1" x14ac:dyDescent="0.25">
      <c r="A23" s="8"/>
      <c r="B23" s="4"/>
      <c r="C23" s="4"/>
      <c r="D23" s="4"/>
      <c r="E23"/>
      <c r="F23"/>
      <c r="G23"/>
    </row>
    <row r="24" spans="1:7" s="16" customFormat="1" ht="15" customHeight="1" x14ac:dyDescent="0.25">
      <c r="A24" s="8"/>
      <c r="B24" s="4"/>
      <c r="C24" s="4"/>
      <c r="D24" s="4"/>
      <c r="E24"/>
      <c r="F24"/>
      <c r="G24"/>
    </row>
    <row r="25" spans="1:7" ht="15" customHeight="1" x14ac:dyDescent="0.25">
      <c r="C25" s="4"/>
      <c r="D25" s="4"/>
      <c r="E25"/>
      <c r="F25"/>
      <c r="G25"/>
    </row>
    <row r="26" spans="1:7" ht="15" customHeight="1" x14ac:dyDescent="0.25">
      <c r="C26" s="4"/>
      <c r="D26" s="4"/>
      <c r="E26"/>
      <c r="F26"/>
      <c r="G26"/>
    </row>
    <row r="27" spans="1:7" ht="15" customHeight="1" x14ac:dyDescent="0.25">
      <c r="A27" s="8" t="s">
        <v>333</v>
      </c>
      <c r="C27" s="4"/>
      <c r="D27" s="4"/>
      <c r="E27"/>
      <c r="F27"/>
      <c r="G27"/>
    </row>
    <row r="28" spans="1:7" ht="15" customHeight="1" x14ac:dyDescent="0.25">
      <c r="A28" s="8" t="s">
        <v>334</v>
      </c>
      <c r="C28" s="4"/>
      <c r="D28" s="4"/>
      <c r="E28"/>
      <c r="F28"/>
      <c r="G28"/>
    </row>
    <row r="29" spans="1:7" ht="15" customHeight="1" x14ac:dyDescent="0.25">
      <c r="A29" s="8" t="s">
        <v>335</v>
      </c>
      <c r="C29" s="4"/>
      <c r="D29" s="4"/>
      <c r="E29" s="4"/>
      <c r="F29" s="4"/>
    </row>
    <row r="30" spans="1:7" ht="15" customHeight="1" x14ac:dyDescent="0.25">
      <c r="A30" s="8" t="s">
        <v>336</v>
      </c>
      <c r="C30" s="4"/>
      <c r="D30" s="4"/>
      <c r="E30" s="4"/>
      <c r="F30" s="4"/>
    </row>
    <row r="31" spans="1:7" ht="15" customHeight="1" x14ac:dyDescent="0.25">
      <c r="A31" s="8" t="s">
        <v>337</v>
      </c>
      <c r="C31" s="4"/>
      <c r="D31" s="4"/>
      <c r="E31" s="4"/>
      <c r="F31" s="4"/>
    </row>
    <row r="32" spans="1:7" ht="15" customHeight="1" x14ac:dyDescent="0.25">
      <c r="A32" s="8" t="s">
        <v>338</v>
      </c>
      <c r="C32" s="4"/>
      <c r="D32" s="4"/>
      <c r="E32" s="4"/>
      <c r="F32" s="4"/>
    </row>
    <row r="33" spans="1:6" ht="15" customHeight="1" x14ac:dyDescent="0.25">
      <c r="A33" s="11" t="s">
        <v>339</v>
      </c>
      <c r="C33" s="4"/>
      <c r="D33" s="4"/>
      <c r="E33" s="4"/>
      <c r="F33" s="4"/>
    </row>
    <row r="34" spans="1:6" ht="15" customHeight="1" x14ac:dyDescent="0.25">
      <c r="A34" s="11" t="s">
        <v>340</v>
      </c>
      <c r="C34" s="4" t="s">
        <v>324</v>
      </c>
      <c r="D34" s="4" t="s">
        <v>345</v>
      </c>
      <c r="E34" s="4" t="s">
        <v>96</v>
      </c>
      <c r="F34" s="4" t="s">
        <v>60</v>
      </c>
    </row>
    <row r="35" spans="1:6" ht="15" customHeight="1" x14ac:dyDescent="0.25">
      <c r="A35" s="8" t="s">
        <v>341</v>
      </c>
      <c r="C35" s="14">
        <f ca="1">TODAY()-57</f>
        <v>46064</v>
      </c>
      <c r="D35" s="4" t="s">
        <v>346</v>
      </c>
      <c r="E35" s="4" t="s">
        <v>348</v>
      </c>
      <c r="F35" s="15">
        <v>1400</v>
      </c>
    </row>
    <row r="36" spans="1:6" ht="15" customHeight="1" x14ac:dyDescent="0.25">
      <c r="A36" s="8" t="s">
        <v>342</v>
      </c>
      <c r="C36" s="14">
        <f ca="1">TODAY()-52</f>
        <v>46069</v>
      </c>
      <c r="D36" s="4" t="s">
        <v>208</v>
      </c>
      <c r="E36" s="4" t="s">
        <v>349</v>
      </c>
      <c r="F36" s="15">
        <v>1010</v>
      </c>
    </row>
    <row r="37" spans="1:6" ht="15" customHeight="1" x14ac:dyDescent="0.25">
      <c r="C37" s="14">
        <f ca="1">TODAY()-35</f>
        <v>46086</v>
      </c>
      <c r="D37" s="4" t="s">
        <v>346</v>
      </c>
      <c r="E37" s="4" t="s">
        <v>348</v>
      </c>
      <c r="F37" s="15">
        <v>750</v>
      </c>
    </row>
    <row r="38" spans="1:6" ht="15" customHeight="1" x14ac:dyDescent="0.25">
      <c r="C38" s="14">
        <f ca="1">TODAY()-31</f>
        <v>46090</v>
      </c>
      <c r="D38" s="4" t="s">
        <v>208</v>
      </c>
      <c r="E38" s="4" t="s">
        <v>350</v>
      </c>
      <c r="F38" s="15">
        <v>510</v>
      </c>
    </row>
    <row r="39" spans="1:6" ht="15" customHeight="1" x14ac:dyDescent="0.25">
      <c r="C39" s="14">
        <f ca="1">TODAY()-11</f>
        <v>46110</v>
      </c>
      <c r="D39" s="4" t="s">
        <v>347</v>
      </c>
      <c r="E39" s="4" t="s">
        <v>350</v>
      </c>
      <c r="F39" s="15">
        <v>1600</v>
      </c>
    </row>
    <row r="40" spans="1:6" ht="15" customHeight="1" x14ac:dyDescent="0.25">
      <c r="C40" s="14">
        <f ca="1">TODAY()</f>
        <v>46121</v>
      </c>
      <c r="D40" s="4" t="s">
        <v>212</v>
      </c>
      <c r="E40" s="4" t="s">
        <v>349</v>
      </c>
      <c r="F40" s="15">
        <v>680</v>
      </c>
    </row>
    <row r="41" spans="1:6" ht="15" customHeight="1" x14ac:dyDescent="0.25">
      <c r="C41" s="4"/>
      <c r="D41" s="4"/>
      <c r="E41" s="4"/>
      <c r="F41" s="4"/>
    </row>
    <row r="42" spans="1:6" ht="15" customHeight="1" x14ac:dyDescent="0.25">
      <c r="C42" s="4"/>
      <c r="D42" s="4"/>
      <c r="E42" s="4"/>
      <c r="F42" s="4"/>
    </row>
    <row r="43" spans="1:6" ht="15" customHeight="1" x14ac:dyDescent="0.25">
      <c r="C43"/>
      <c r="D43"/>
      <c r="E43"/>
      <c r="F43" s="4"/>
    </row>
    <row r="44" spans="1:6" ht="15" customHeight="1" x14ac:dyDescent="0.25">
      <c r="C44"/>
      <c r="D44"/>
      <c r="E44"/>
      <c r="F44" s="4"/>
    </row>
    <row r="45" spans="1:6" ht="15" customHeight="1" x14ac:dyDescent="0.25">
      <c r="C45"/>
      <c r="D45"/>
      <c r="E45"/>
      <c r="F45" s="4"/>
    </row>
    <row r="46" spans="1:6" ht="15" customHeight="1" x14ac:dyDescent="0.25">
      <c r="C46"/>
      <c r="D46"/>
      <c r="E46"/>
      <c r="F46" s="4"/>
    </row>
    <row r="47" spans="1:6" ht="15" customHeight="1" x14ac:dyDescent="0.25">
      <c r="C47"/>
      <c r="D47"/>
      <c r="E47"/>
      <c r="F47" s="4"/>
    </row>
    <row r="48" spans="1:6" ht="15" customHeight="1" x14ac:dyDescent="0.25">
      <c r="C48"/>
      <c r="D48"/>
      <c r="E48"/>
      <c r="F48" s="4"/>
    </row>
    <row r="49" spans="1:6" ht="15" customHeight="1" x14ac:dyDescent="0.25">
      <c r="C49"/>
      <c r="D49"/>
      <c r="E49"/>
      <c r="F49" s="4"/>
    </row>
    <row r="50" spans="1:6" ht="15" customHeight="1" x14ac:dyDescent="0.25">
      <c r="C50"/>
      <c r="D50"/>
      <c r="E50"/>
      <c r="F50" s="4"/>
    </row>
    <row r="51" spans="1:6" ht="15" customHeight="1" x14ac:dyDescent="0.25">
      <c r="C51"/>
      <c r="D51"/>
      <c r="E51"/>
      <c r="F51" s="4"/>
    </row>
    <row r="52" spans="1:6" ht="15" customHeight="1" x14ac:dyDescent="0.25">
      <c r="C52"/>
      <c r="D52"/>
      <c r="E52"/>
      <c r="F52" s="4"/>
    </row>
    <row r="53" spans="1:6" ht="15" customHeight="1" x14ac:dyDescent="0.25">
      <c r="C53"/>
      <c r="D53"/>
      <c r="E53"/>
      <c r="F53" s="4"/>
    </row>
    <row r="54" spans="1:6" ht="15" customHeight="1" x14ac:dyDescent="0.25">
      <c r="C54"/>
      <c r="D54"/>
      <c r="E54"/>
      <c r="F54" s="4"/>
    </row>
    <row r="55" spans="1:6" ht="15" customHeight="1" x14ac:dyDescent="0.25">
      <c r="C55"/>
      <c r="D55"/>
      <c r="E55"/>
      <c r="F55" s="4"/>
    </row>
    <row r="56" spans="1:6" ht="15" customHeight="1" x14ac:dyDescent="0.25">
      <c r="C56"/>
      <c r="D56"/>
      <c r="E56"/>
      <c r="F56" s="4"/>
    </row>
    <row r="57" spans="1:6" ht="15" customHeight="1" x14ac:dyDescent="0.25">
      <c r="C57"/>
      <c r="D57"/>
      <c r="E57"/>
      <c r="F57" s="4"/>
    </row>
    <row r="58" spans="1:6" ht="15" customHeight="1" x14ac:dyDescent="0.25">
      <c r="A58" s="8" t="s">
        <v>41</v>
      </c>
      <c r="C58"/>
      <c r="D58"/>
      <c r="E58"/>
      <c r="F58" s="4"/>
    </row>
    <row r="59" spans="1:6" ht="15" customHeight="1" x14ac:dyDescent="0.25">
      <c r="A59" s="8" t="s">
        <v>343</v>
      </c>
      <c r="C59"/>
      <c r="D59"/>
      <c r="E59"/>
      <c r="F59" s="4"/>
    </row>
    <row r="60" spans="1:6" ht="15" customHeight="1" x14ac:dyDescent="0.25">
      <c r="A60" s="8" t="s">
        <v>344</v>
      </c>
      <c r="C60"/>
      <c r="D60"/>
      <c r="E60"/>
      <c r="F60" s="4"/>
    </row>
    <row r="61" spans="1:6" ht="15" customHeight="1" x14ac:dyDescent="0.25">
      <c r="A61" s="8" t="s">
        <v>86</v>
      </c>
      <c r="C61" s="4"/>
      <c r="D61" s="4"/>
      <c r="E61" s="4"/>
      <c r="F61" s="4"/>
    </row>
  </sheetData>
  <phoneticPr fontId="22" type="noConversion"/>
  <hyperlinks>
    <hyperlink ref="A60" r:id="rId2" tooltip="選取以從 Web 了解如何使用 [欄位清單] 來排列樞紐分析表中的欄位" xr:uid="{00000000-0004-0000-0A00-000000000000}"/>
    <hyperlink ref="A59" r:id="rId3" tooltip="選取以從 Web 了解如何建立樞紐分析表來分析工作表的資料" xr:uid="{00000000-0004-0000-0A00-000001000000}"/>
  </hyperlinks>
  <pageMargins left="0.7" right="0.7" top="0.75" bottom="0.75" header="0.3" footer="0.3"/>
  <pageSetup paperSize="9" orientation="portrait" r:id="rId4"/>
  <drawing r:id="rId5"/>
  <tableParts count="2">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B6"/>
  <sheetViews>
    <sheetView showGridLines="0" zoomScaleNormal="100" workbookViewId="0"/>
  </sheetViews>
  <sheetFormatPr defaultColWidth="8.88671875" defaultRowHeight="15" customHeight="1" x14ac:dyDescent="0.25"/>
  <cols>
    <col min="1" max="1" width="8.88671875" style="8"/>
    <col min="2" max="2" width="84.6640625" style="4" customWidth="1"/>
    <col min="3" max="16384" width="8.88671875" style="4"/>
  </cols>
  <sheetData>
    <row r="1" spans="1:2" ht="60" customHeight="1" x14ac:dyDescent="0.25">
      <c r="A1" s="8" t="s">
        <v>353</v>
      </c>
    </row>
    <row r="2" spans="1:2" s="9" customFormat="1" ht="15" customHeight="1" x14ac:dyDescent="0.25">
      <c r="A2" s="8" t="s">
        <v>354</v>
      </c>
      <c r="B2" s="4"/>
    </row>
    <row r="3" spans="1:2" s="9" customFormat="1" ht="15" customHeight="1" x14ac:dyDescent="0.25">
      <c r="A3" s="8" t="s">
        <v>355</v>
      </c>
      <c r="B3" s="4"/>
    </row>
    <row r="4" spans="1:2" s="10" customFormat="1" ht="15" customHeight="1" x14ac:dyDescent="0.5">
      <c r="A4" s="8" t="s">
        <v>356</v>
      </c>
      <c r="B4" s="4"/>
    </row>
    <row r="5" spans="1:2" s="12" customFormat="1" ht="15" customHeight="1" x14ac:dyDescent="0.25">
      <c r="A5" s="11" t="s">
        <v>357</v>
      </c>
      <c r="B5" s="4"/>
    </row>
    <row r="6" spans="1:2" s="12" customFormat="1" ht="15" customHeight="1" x14ac:dyDescent="0.25">
      <c r="B6" s="4"/>
    </row>
  </sheetData>
  <phoneticPr fontId="22" type="noConversion"/>
  <hyperlinks>
    <hyperlink ref="A4" r:id="rId1" tooltip="選取以深入了解社群" display="http://go.microsoft.com/fwlink/?LinkId=844969" xr:uid="{00000000-0004-0000-0B00-000001000000}"/>
    <hyperlink ref="A5" r:id="rId2" tooltip="選取以深入了解其他新功能" display="http://go.microsoft.com/fwlink/?LinkId=846286" xr:uid="{00000000-0004-0000-0B00-000002000000}"/>
  </hyperlinks>
  <pageMargins left="0.7" right="0.7" top="0.75" bottom="0.75" header="0.3" footer="0.3"/>
  <pageSetup paperSize="9" orientation="portrait" r:id="rId3"/>
  <drawing r:id="rId4"/>
</worksheet>
</file>

<file path=docProps/app.xml><?xml version="1.0" encoding="utf-8"?>
<Properties xmlns="http://schemas.openxmlformats.org/officeDocument/2006/extended-properties" xmlns:vt="http://schemas.openxmlformats.org/officeDocument/2006/docPropsVTypes">
  <Template>TM10000137</Template>
  <Application>Microsoft Excel</Application>
  <DocSecurity>0</DocSecurity>
  <ScaleCrop>false</ScaleCrop>
  <HeadingPairs>
    <vt:vector size="4" baseType="variant">
      <vt:variant>
        <vt:lpstr>工作表</vt:lpstr>
      </vt:variant>
      <vt:variant>
        <vt:i4>12</vt:i4>
      </vt:variant>
      <vt:variant>
        <vt:lpstr>具名範圍</vt:lpstr>
      </vt:variant>
      <vt:variant>
        <vt:i4>11</vt:i4>
      </vt:variant>
    </vt:vector>
  </HeadingPairs>
  <TitlesOfParts>
    <vt:vector size="23" baseType="lpstr">
      <vt:lpstr>開始</vt:lpstr>
      <vt:lpstr>1. 新增</vt:lpstr>
      <vt:lpstr>2. 填滿</vt:lpstr>
      <vt:lpstr>3. 分割</vt:lpstr>
      <vt:lpstr>4. 轉置</vt:lpstr>
      <vt:lpstr>5. 排序與篩選</vt:lpstr>
      <vt:lpstr>6. 表格</vt:lpstr>
      <vt:lpstr>7. 下拉式清單</vt:lpstr>
      <vt:lpstr>8. 分析</vt:lpstr>
      <vt:lpstr>9. 圖表</vt:lpstr>
      <vt:lpstr>10. 樞紐分析表</vt:lpstr>
      <vt:lpstr>深入了解</vt:lpstr>
      <vt:lpstr>SUMExtraCredit</vt:lpstr>
      <vt:lpstr>SUMIF</vt:lpstr>
      <vt:lpstr>SUMIF祕笈</vt:lpstr>
      <vt:lpstr>水果</vt:lpstr>
      <vt:lpstr>肉品</vt:lpstr>
      <vt:lpstr>更多水果</vt:lpstr>
      <vt:lpstr>更多項目</vt:lpstr>
      <vt:lpstr>更多項目_</vt:lpstr>
      <vt:lpstr>祕笈</vt:lpstr>
      <vt:lpstr>項目</vt:lpstr>
      <vt:lpstr>總計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keywords/>
  <cp:lastModifiedBy/>
  <dcterms:created xsi:type="dcterms:W3CDTF">2020-01-28T19:47:00Z</dcterms:created>
  <dcterms:modified xsi:type="dcterms:W3CDTF">2026-04-09T15:36:42Z</dcterms:modified>
  <cp:version/>
</cp:coreProperties>
</file>